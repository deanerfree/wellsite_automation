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985" yWindow="2985" windowWidth="35415" windowHeight="15225" tabRatio="934" firstSheet="0" activeTab="0" autoFilterDateGrouping="1"/>
  </bookViews>
  <sheets>
    <sheet name="Well Data" sheetId="1" state="visible" r:id="rId1"/>
    <sheet name="Tops (Hz)" sheetId="2" state="visible" r:id="rId2"/>
    <sheet name="Bit" sheetId="3" state="visible" r:id="rId3"/>
    <sheet name="Criteria" sheetId="4" state="hidden" r:id="rId4"/>
    <sheet name="T&amp;L 1" sheetId="5" state="visible" r:id="rId5"/>
    <sheet name="T&amp;L 2" sheetId="6" state="visible" r:id="rId6"/>
    <sheet name="T&amp;L 3" sheetId="7" state="visible" r:id="rId7"/>
    <sheet name="T&amp;L 4" sheetId="8" state="visible" r:id="rId8"/>
    <sheet name="T&amp;L 5" sheetId="9" state="visible" r:id="rId9"/>
    <sheet name="T&amp;L 6" sheetId="10" state="visible" r:id="rId10"/>
    <sheet name="Reservoir Quality Log" sheetId="11" state="visible" r:id="rId11"/>
    <sheet name="Porosity Log" sheetId="12" state="visible" r:id="rId12"/>
    <sheet name="T&amp;L 7" sheetId="13" state="visible" r:id="rId13"/>
    <sheet name="T&amp;L 8" sheetId="14" state="visible" r:id="rId14"/>
    <sheet name="T&amp;L 9" sheetId="15" state="visible" r:id="rId15"/>
    <sheet name="T&amp;L 10" sheetId="16" state="visible" r:id="rId16"/>
    <sheet name="Daily" sheetId="17" state="visible" r:id="rId17"/>
    <sheet name="Logging Report" sheetId="18" state="visible" r:id="rId18"/>
    <sheet name="Dev. Surveys" sheetId="19" state="visible" r:id="rId19"/>
    <sheet name="Core Recovery Report" sheetId="20" state="visible" r:id="rId20"/>
    <sheet name="Core Description Report" sheetId="21" state="visible" r:id="rId21"/>
  </sheets>
  <externalReferences>
    <externalReference r:id="rId22"/>
    <externalReference r:id="rId23"/>
    <externalReference r:id="rId24"/>
    <externalReference r:id="rId25"/>
  </externalReferences>
  <definedNames>
    <definedName name="B.S.">'[1]MWD Surv'!$J$5</definedName>
    <definedName name="Common_Formations">[2]Dropdown_Lists!$A$2:$A$385</definedName>
    <definedName name="Intermediate">'Well Data'!$A$68</definedName>
    <definedName name="Leg_1">'Well Data'!$A$26</definedName>
    <definedName name="Leg_10">'Well Data'!$A$34</definedName>
    <definedName name="Leg_11">'Well Data'!$A$35</definedName>
    <definedName name="Leg_12">'Well Data'!$A$36</definedName>
    <definedName name="Leg_13">'Well Data'!$A$37</definedName>
    <definedName name="Leg_14">'Well Data'!$A$38</definedName>
    <definedName name="Leg_15">'Well Data'!$A$39</definedName>
    <definedName name="Leg_2">'Well Data'!$A$27</definedName>
    <definedName name="Leg_3">'Well Data'!#REF!</definedName>
    <definedName name="Leg_4">'Well Data'!$A$28</definedName>
    <definedName name="Leg_5">'Well Data'!$A$29</definedName>
    <definedName name="Leg_6">'Well Data'!$A$30</definedName>
    <definedName name="Leg_7">'Well Data'!$A$31</definedName>
    <definedName name="Leg_8">'Well Data'!$A$32</definedName>
    <definedName name="Leg_9">'Well Data'!$A$33</definedName>
    <definedName name="Logs">IF('Tops (Hz)'!XET1=0,"-",'Tops (Hz)'!XET1-'Tops (Hz)'!XFB1)</definedName>
    <definedName name="pi">3.14159265</definedName>
    <definedName name="pird">3.14159265/180</definedName>
    <definedName name="Prog_ISO">IF(AND('Tops (Hz)'!XFD2=0,'Tops (Hz)'!XFD1&lt;&gt;0),"-",'Tops (Hz)'!XFD1-'Tops (Hz)'!XFD2)</definedName>
    <definedName name="projazi">'[1]MWD Surv'!$F$5</definedName>
    <definedName name="RKB">[3]Basic!$B$6</definedName>
    <definedName name="SDLeg1">'Well Data'!$A$26</definedName>
    <definedName name="SDLeg15">'Well Data'!$A$39</definedName>
    <definedName name="TARDB">'T&amp;L 1'!$A$9:$L$34</definedName>
    <definedName name="TARDB10" localSheetId="15">'T&amp;L 10'!$A$8:$L$29</definedName>
    <definedName name="TARDB2" localSheetId="5">'T&amp;L 2'!$A$6:$L$22</definedName>
    <definedName name="TARDB3" localSheetId="6">'T&amp;L 3'!$A$8:$L$32</definedName>
    <definedName name="TARDB4" localSheetId="7">'T&amp;L 4'!$A$8:$L$34</definedName>
    <definedName name="TARDB5" localSheetId="8">'T&amp;L 5'!$A$8:$L$30</definedName>
    <definedName name="TARDB6" localSheetId="9">'T&amp;L 6'!$A$8:$L$23</definedName>
    <definedName name="TARDB7" localSheetId="12">'T&amp;L 7'!$A$8:$L$29</definedName>
    <definedName name="TARDB8" localSheetId="13">'T&amp;L 8'!$A$8:$L$29</definedName>
    <definedName name="TARDB9" localSheetId="14">'T&amp;L 9'!$A$8:$L$29</definedName>
    <definedName name="_xlnm.Print_Area" localSheetId="0">'Well Data'!$A$1:$G$100</definedName>
    <definedName name="_xlnm.Print_Area" localSheetId="4">'T&amp;L 1'!$A$6:$L$42</definedName>
    <definedName name="_xlnm.Print_Area" localSheetId="5">'T&amp;L 2'!$A$5:$L$30</definedName>
    <definedName name="_xlnm.Print_Area" localSheetId="6">'T&amp;L 3'!$A$5:$L$40</definedName>
    <definedName name="_xlnm.Print_Area" localSheetId="7">'T&amp;L 4'!$A$5:$L$34</definedName>
    <definedName name="_xlnm.Print_Area" localSheetId="8">'T&amp;L 5'!$A$5:$L$38</definedName>
    <definedName name="_xlnm.Print_Area" localSheetId="9">'T&amp;L 6'!$A$5:$L$31</definedName>
    <definedName name="_xlnm.Print_Area" localSheetId="12">'T&amp;L 7'!$A$5:$L$37</definedName>
    <definedName name="_xlnm.Print_Area" localSheetId="13">'T&amp;L 8'!$A$5:$L$37</definedName>
    <definedName name="_xlnm.Print_Area" localSheetId="14">'T&amp;L 9'!$A$5:$L$37</definedName>
    <definedName name="_xlnm.Print_Area" localSheetId="15">'T&amp;L 10'!$A$5:$L$37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&quot;G.L.(m):&quot;\ \ 0.00"/>
    <numFmt numFmtId="166" formatCode="0.0\ &quot;m&quot;"/>
    <numFmt numFmtId="167" formatCode="0.0%"/>
    <numFmt numFmtId="168" formatCode="[$-1009]d/mmm/yy;@"/>
    <numFmt numFmtId="169" formatCode="0.00;[Red]0.00"/>
    <numFmt numFmtId="170" formatCode="dd\ mmm\ yy"/>
    <numFmt numFmtId="171" formatCode="hh:mm"/>
    <numFmt numFmtId="172" formatCode="h\.m"/>
    <numFmt numFmtId="173" formatCode="0.00\ &quot;m&quot;"/>
    <numFmt numFmtId="174" formatCode="[$-1009]mmmm\ d\,\ yyyy;@"/>
    <numFmt numFmtId="175" formatCode="hh:mm\ &quot;hours&quot;"/>
    <numFmt numFmtId="176" formatCode="0.0\ &quot;mm&quot;"/>
    <numFmt numFmtId="177" formatCode="[$-409]d/mmm/yy;@"/>
  </numFmts>
  <fonts count="59"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indexed="8"/>
      <sz val="11"/>
    </font>
    <font>
      <name val="Arial"/>
      <family val="2"/>
      <b val="1"/>
      <sz val="11"/>
    </font>
    <font>
      <name val="Arial"/>
      <family val="2"/>
      <sz val="11"/>
    </font>
    <font>
      <name val="Arial"/>
      <family val="2"/>
      <b val="1"/>
      <sz val="18"/>
    </font>
    <font>
      <name val="Arial"/>
      <family val="2"/>
      <b val="1"/>
      <i val="1"/>
      <sz val="11"/>
    </font>
    <font>
      <name val="Arial"/>
      <family val="2"/>
      <sz val="10"/>
    </font>
    <font>
      <name val="Arial"/>
      <family val="2"/>
      <sz val="8"/>
    </font>
    <font>
      <name val="Arial"/>
      <family val="2"/>
      <b val="1"/>
      <i val="1"/>
      <sz val="10"/>
    </font>
    <font>
      <name val="Arial"/>
      <family val="2"/>
      <sz val="11"/>
    </font>
    <font>
      <name val="Arial"/>
      <family val="2"/>
      <sz val="18"/>
    </font>
    <font>
      <name val="Arial"/>
      <family val="2"/>
      <i val="1"/>
      <sz val="11"/>
    </font>
    <font>
      <name val="Arial"/>
      <family val="2"/>
      <b val="1"/>
      <sz val="10"/>
    </font>
    <font>
      <name val="Arial"/>
      <family val="2"/>
      <b val="1"/>
      <sz val="9"/>
    </font>
    <font>
      <name val="Arial"/>
      <family val="2"/>
      <sz val="9"/>
    </font>
    <font>
      <name val="Calibri"/>
      <family val="2"/>
      <color theme="1"/>
      <sz val="11"/>
      <scheme val="minor"/>
    </font>
    <font>
      <name val="Arial"/>
      <family val="2"/>
      <b val="1"/>
      <color rgb="FF75004B"/>
      <sz val="10"/>
    </font>
    <font>
      <name val="Arial"/>
      <family val="2"/>
      <b val="1"/>
      <color rgb="FF75004B"/>
      <sz val="18"/>
    </font>
    <font>
      <name val="Arial"/>
      <family val="2"/>
      <b val="1"/>
      <color rgb="FF75004B"/>
      <sz val="9"/>
    </font>
    <font>
      <name val="Arial"/>
      <family val="2"/>
      <color rgb="FF75004B"/>
      <sz val="10"/>
    </font>
    <font>
      <name val="Arial"/>
      <family val="2"/>
      <color rgb="FFFF0000"/>
      <sz val="11"/>
    </font>
    <font>
      <name val="Arial"/>
      <family val="2"/>
      <b val="1"/>
      <color rgb="FFFF0000"/>
      <sz val="11"/>
    </font>
    <font>
      <name val="Arial"/>
      <family val="2"/>
      <color rgb="FF000000"/>
      <sz val="10"/>
    </font>
    <font>
      <name val="Arial"/>
      <family val="2"/>
      <color rgb="FFFF0000"/>
      <sz val="10"/>
    </font>
    <font>
      <name val="Arial"/>
      <family val="2"/>
      <color rgb="FF75004B"/>
      <sz val="9"/>
    </font>
    <font>
      <name val="Arial"/>
      <family val="2"/>
      <color rgb="FF339966"/>
      <sz val="10"/>
    </font>
    <font>
      <name val="Arial"/>
      <family val="2"/>
      <color rgb="FF3366FF"/>
      <sz val="10"/>
    </font>
    <font>
      <name val="Arial"/>
      <family val="2"/>
      <color rgb="FF993366"/>
      <sz val="10"/>
    </font>
    <font>
      <name val="Calibri"/>
      <family val="2"/>
      <sz val="11"/>
    </font>
    <font>
      <name val="Arial"/>
      <family val="2"/>
      <color rgb="FF000000"/>
      <sz val="7"/>
    </font>
    <font>
      <name val="Arial"/>
      <family val="2"/>
      <b val="1"/>
      <color rgb="FF71004B"/>
      <sz val="10"/>
    </font>
    <font>
      <name val="Arial"/>
      <family val="2"/>
      <b val="1"/>
      <color rgb="FF339966"/>
      <sz val="9"/>
    </font>
    <font>
      <name val="Arial"/>
      <family val="2"/>
      <b val="1"/>
      <color rgb="FF339966"/>
      <sz val="8"/>
    </font>
    <font>
      <name val="Arial"/>
      <family val="2"/>
      <b val="1"/>
      <color rgb="FFFF9900"/>
      <sz val="9"/>
    </font>
    <font>
      <name val="Arial"/>
      <family val="2"/>
      <b val="1"/>
      <color rgb="FF71004B"/>
      <sz val="9"/>
    </font>
    <font>
      <name val="Arial"/>
      <family val="2"/>
      <color rgb="FF71004B"/>
      <sz val="10"/>
    </font>
    <font>
      <name val="Cambria"/>
      <family val="2"/>
      <b val="1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65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Geneva"/>
      <family val="2"/>
      <sz val="10"/>
    </font>
    <font>
      <name val="Calibri"/>
      <family val="2"/>
      <color indexed="9"/>
      <sz val="11"/>
    </font>
    <font>
      <name val="Calibri"/>
      <family val="2"/>
      <color rgb="FF9C5700"/>
      <sz val="11"/>
      <scheme val="minor"/>
    </font>
    <font>
      <name val="Cambria"/>
      <family val="2"/>
      <color theme="3"/>
      <sz val="18"/>
      <scheme val="major"/>
    </font>
    <font>
      <name val="Calibri"/>
      <family val="2"/>
      <b val="1"/>
      <color rgb="FFFF0000"/>
      <sz val="11"/>
      <scheme val="minor"/>
    </font>
  </fonts>
  <fills count="40">
    <fill>
      <patternFill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rgb="FFD7D8D6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indexed="49"/>
        <bgColor indexed="40"/>
      </patternFill>
    </fill>
  </fills>
  <borders count="14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rgb="FF75004B"/>
      </bottom>
      <diagonal/>
    </border>
    <border>
      <left/>
      <right/>
      <top/>
      <bottom style="thin">
        <color rgb="FF75004B"/>
      </bottom>
      <diagonal/>
    </border>
    <border>
      <left/>
      <right/>
      <top style="thin">
        <color rgb="FF75004B"/>
      </top>
      <bottom style="medium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5004B"/>
      </bottom>
      <diagonal/>
    </border>
    <border>
      <left/>
      <right/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/>
      <bottom style="thin">
        <color rgb="FF75004B"/>
      </bottom>
      <diagonal/>
    </border>
    <border>
      <left style="thin">
        <color rgb="FF75004B"/>
      </left>
      <right/>
      <top/>
      <bottom style="thin">
        <color rgb="FF75004B"/>
      </bottom>
      <diagonal/>
    </border>
    <border>
      <left/>
      <right/>
      <top style="thin">
        <color rgb="FF75004B"/>
      </top>
      <bottom/>
      <diagonal/>
    </border>
    <border>
      <left style="medium">
        <color rgb="FF75004B"/>
      </left>
      <right/>
      <top/>
      <bottom/>
      <diagonal/>
    </border>
    <border>
      <left style="thin">
        <color rgb="FF75004B"/>
      </left>
      <right style="thin">
        <color rgb="FF75004B"/>
      </right>
      <top style="thin">
        <color rgb="FF75004B"/>
      </top>
      <bottom/>
      <diagonal/>
    </border>
    <border>
      <left style="thin">
        <color rgb="FF75004B"/>
      </left>
      <right/>
      <top style="thin">
        <color rgb="FF75004B"/>
      </top>
      <bottom/>
      <diagonal/>
    </border>
    <border>
      <left/>
      <right/>
      <top style="medium">
        <color rgb="FF75004B"/>
      </top>
      <bottom/>
      <diagonal/>
    </border>
    <border>
      <left/>
      <right style="medium">
        <color rgb="FF75004B"/>
      </right>
      <top/>
      <bottom/>
      <diagonal/>
    </border>
    <border>
      <left/>
      <right style="thin">
        <color rgb="FF75004B"/>
      </right>
      <top style="thin">
        <color rgb="FF75004B"/>
      </top>
      <bottom/>
      <diagonal/>
    </border>
    <border>
      <left/>
      <right style="thin">
        <color rgb="FF75004B"/>
      </right>
      <top/>
      <bottom/>
      <diagonal/>
    </border>
    <border>
      <left/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/>
      <bottom style="thin">
        <color rgb="FF75004B"/>
      </bottom>
      <diagonal/>
    </border>
    <border>
      <left style="medium">
        <color rgb="FF75004B"/>
      </left>
      <right/>
      <top/>
      <bottom style="thin">
        <color rgb="FF75004B"/>
      </bottom>
      <diagonal/>
    </border>
    <border>
      <left/>
      <right style="medium">
        <color rgb="FF75004B"/>
      </right>
      <top/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71004B"/>
      </bottom>
      <diagonal/>
    </border>
    <border>
      <left style="medium">
        <color rgb="FF75004B"/>
      </left>
      <right/>
      <top/>
      <bottom style="thin">
        <color rgb="FF71004B"/>
      </bottom>
      <diagonal/>
    </border>
    <border>
      <left/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medium">
        <color rgb="FF75004B"/>
      </right>
      <top style="thin">
        <color rgb="FFD7D8D6"/>
      </top>
      <bottom/>
      <diagonal/>
    </border>
    <border>
      <left/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/>
      <bottom style="thin">
        <color rgb="FFD7D8D6"/>
      </bottom>
      <diagonal/>
    </border>
    <border>
      <left style="medium">
        <color rgb="FF75004B"/>
      </left>
      <right style="thin">
        <color rgb="FFD7D8D6"/>
      </right>
      <top/>
      <bottom style="thin">
        <color rgb="FFD7D8D6"/>
      </bottom>
      <diagonal/>
    </border>
    <border>
      <left style="thin">
        <color rgb="FF75004B"/>
      </left>
      <right/>
      <top/>
      <bottom/>
      <diagonal/>
    </border>
    <border>
      <left/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/>
      <top/>
      <bottom/>
      <diagonal/>
    </border>
    <border>
      <left style="thin">
        <color rgb="FFD7D8D6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/>
      <bottom/>
      <diagonal/>
    </border>
    <border>
      <left style="thin">
        <color rgb="FFD7D8D6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/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1004B"/>
      </right>
      <top style="thin">
        <color rgb="FF75004B"/>
      </top>
      <bottom/>
      <diagonal/>
    </border>
    <border>
      <left style="thin">
        <color rgb="FF75004B"/>
      </left>
      <right style="thin">
        <color rgb="FF71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1004B"/>
      </bottom>
      <diagonal/>
    </border>
    <border>
      <left style="thin">
        <color rgb="FFD7D8D6"/>
      </left>
      <right style="medium">
        <color rgb="FF75004B"/>
      </right>
      <top/>
      <bottom/>
      <diagonal/>
    </border>
    <border>
      <left style="thin">
        <color rgb="FF71004B"/>
      </left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71004B"/>
      </top>
      <bottom/>
      <diagonal/>
    </border>
    <border>
      <left style="thin">
        <color rgb="FF75004B"/>
      </left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/>
      <bottom style="thin">
        <color rgb="FFD7D8D6"/>
      </bottom>
      <diagonal/>
    </border>
    <border>
      <left/>
      <right style="medium">
        <color rgb="FF75004B"/>
      </right>
      <top style="thin">
        <color rgb="FF75004B"/>
      </top>
      <bottom style="thin">
        <color rgb="FF75004B"/>
      </bottom>
      <diagonal/>
    </border>
    <border>
      <left style="medium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/>
      <top style="thin">
        <color rgb="FF75004B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/>
      <bottom/>
      <diagonal/>
    </border>
    <border>
      <left style="thin">
        <color rgb="FF75004B"/>
      </left>
      <right style="medium">
        <color rgb="FF75004B"/>
      </right>
      <top style="thin">
        <color rgb="FF75004B"/>
      </top>
      <bottom/>
      <diagonal/>
    </border>
    <border>
      <left style="thin">
        <color rgb="FF71004B"/>
      </left>
      <right style="medium">
        <color rgb="FF75004B"/>
      </right>
      <top/>
      <bottom/>
      <diagonal/>
    </border>
    <border>
      <left style="medium">
        <color rgb="FF75004B"/>
      </left>
      <right/>
      <top style="thin">
        <color rgb="FF75004B"/>
      </top>
      <bottom/>
      <diagonal/>
    </border>
    <border>
      <left style="medium">
        <color rgb="FF75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1004B"/>
      </right>
      <top/>
      <bottom/>
      <diagonal/>
    </border>
    <border>
      <left/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/>
      <top style="thin">
        <color rgb="FFD7D8D6"/>
      </top>
      <bottom/>
      <diagonal/>
    </border>
    <border>
      <left/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/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 style="thin">
        <color rgb="FFD7D8D6"/>
      </bottom>
      <diagonal/>
    </border>
    <border>
      <left style="thin">
        <color rgb="FF75004B"/>
      </left>
      <right/>
      <top/>
      <bottom style="thin">
        <color rgb="FFD7D8D6"/>
      </bottom>
      <diagonal/>
    </border>
    <border>
      <left/>
      <right style="thin">
        <color rgb="FF75004B"/>
      </right>
      <top/>
      <bottom style="thin">
        <color rgb="FFD7D8D6"/>
      </bottom>
      <diagonal/>
    </border>
    <border>
      <left style="thin">
        <color rgb="FFD7D8D6"/>
      </left>
      <right style="medium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/>
      <bottom style="thin">
        <color rgb="FF000000"/>
      </bottom>
      <diagonal/>
    </border>
    <border>
      <left/>
      <right style="thin">
        <color rgb="FF75004B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75004B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75004B"/>
      </right>
      <top style="thin">
        <color rgb="FF000000"/>
      </top>
      <bottom style="thin">
        <color rgb="FF000000"/>
      </bottom>
      <diagonal/>
    </border>
    <border>
      <left style="thin">
        <color rgb="FF71004B"/>
      </left>
      <right/>
      <top style="thin">
        <color rgb="FF000000"/>
      </top>
      <bottom/>
      <diagonal/>
    </border>
    <border>
      <left/>
      <right style="thin">
        <color rgb="FF71004B"/>
      </right>
      <top style="thin">
        <color rgb="FF000000"/>
      </top>
      <bottom/>
      <diagonal/>
    </border>
    <border>
      <left/>
      <right style="medium">
        <color rgb="FF75004B"/>
      </right>
      <top style="thin">
        <color rgb="FF71004B"/>
      </top>
      <bottom style="thin">
        <color rgb="FF71004B"/>
      </bottom>
      <diagonal/>
    </border>
    <border>
      <left style="medium">
        <color rgb="FF75004B"/>
      </left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/>
      <bottom style="thin">
        <color rgb="FF75004B"/>
      </bottom>
      <diagonal/>
    </border>
    <border>
      <left style="medium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medium">
        <color rgb="FF75004B"/>
      </right>
      <top style="thin">
        <color rgb="FF71004B"/>
      </top>
      <bottom/>
      <diagonal/>
    </border>
    <border>
      <left style="thin">
        <color rgb="FF75004B"/>
      </left>
      <right/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medium">
        <color rgb="FF75004B"/>
      </right>
      <top/>
      <bottom style="thin">
        <color rgb="FF75004B"/>
      </bottom>
      <diagonal/>
    </border>
    <border>
      <left/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/>
      <top style="thin">
        <color rgb="FFD7D8D6"/>
      </top>
      <bottom style="thin">
        <color rgb="FFD7D8D6"/>
      </bottom>
      <diagonal/>
    </border>
    <border>
      <left/>
      <right style="medium">
        <color rgb="FF71004B"/>
      </right>
      <top style="thin">
        <color rgb="FFD7D8D6"/>
      </top>
      <bottom style="thin">
        <color rgb="FF71004B"/>
      </bottom>
      <diagonal/>
    </border>
    <border>
      <left style="medium">
        <color rgb="FF71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/>
      <top style="thin">
        <color rgb="FFD7D8D6"/>
      </top>
      <bottom style="thin">
        <color rgb="FF71004B"/>
      </bottom>
      <diagonal/>
    </border>
    <border>
      <left/>
      <right style="medium">
        <color rgb="FF71004B"/>
      </right>
      <top/>
      <bottom style="thin">
        <color rgb="FF71004B"/>
      </bottom>
      <diagonal/>
    </border>
    <border>
      <left/>
      <right/>
      <top/>
      <bottom style="thin">
        <color rgb="FFD7D8D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indexed="64"/>
      </bottom>
      <diagonal/>
    </border>
    <border>
      <left style="medium">
        <color rgb="FF75004B"/>
      </left>
      <right style="medium">
        <color rgb="FF75004B"/>
      </right>
      <top/>
      <bottom style="thin">
        <color rgb="FF75004B"/>
      </bottom>
      <diagonal/>
    </border>
    <border>
      <left/>
      <right/>
      <top style="thin">
        <color rgb="FFD7D8D6"/>
      </top>
      <bottom/>
      <diagonal/>
    </border>
    <border>
      <left/>
      <right style="thin">
        <color rgb="FFD7D8D6"/>
      </right>
      <top style="thin">
        <color rgb="FFD7D8D6"/>
      </top>
      <bottom/>
      <diagonal/>
    </border>
    <border>
      <left/>
      <right style="thin">
        <color rgb="FFD7D8D6"/>
      </right>
      <top/>
      <bottom/>
      <diagonal/>
    </border>
    <border>
      <left/>
      <right style="thin">
        <color rgb="FFD7D8D6"/>
      </right>
      <top/>
      <bottom style="thin">
        <color rgb="FFD7D8D6"/>
      </bottom>
      <diagonal/>
    </border>
    <border>
      <left/>
      <right style="medium">
        <color rgb="FF75004B"/>
      </right>
      <top style="thin">
        <color rgb="FF75004B"/>
      </top>
      <bottom/>
      <diagonal/>
    </border>
    <border>
      <left style="medium">
        <color rgb="FF75004B"/>
      </left>
      <right style="medium">
        <color rgb="FF75004B"/>
      </right>
      <top style="thin">
        <color rgb="FF75004B"/>
      </top>
      <bottom style="thin">
        <color rgb="FF75004B"/>
      </bottom>
      <diagonal/>
    </border>
    <border>
      <left/>
      <right style="thin">
        <color rgb="FF71004B"/>
      </right>
      <top style="thin">
        <color rgb="FFD7D8D6"/>
      </top>
      <bottom/>
      <diagonal/>
    </border>
    <border>
      <left style="medium">
        <color rgb="FF75004B"/>
      </left>
      <right style="medium">
        <color rgb="FF71004B"/>
      </right>
      <top/>
      <bottom style="thin">
        <color rgb="FF71004B"/>
      </bottom>
      <diagonal/>
    </border>
    <border>
      <left/>
      <right style="medium">
        <color rgb="FF71004B"/>
      </right>
      <top/>
      <bottom/>
      <diagonal/>
    </border>
    <border>
      <left style="medium">
        <color rgb="FF75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/>
      <right/>
      <top style="thin">
        <color rgb="FFD7D8D6"/>
      </top>
      <bottom style="thin">
        <color rgb="FF71004B"/>
      </bottom>
      <diagonal/>
    </border>
    <border>
      <left/>
      <right style="thin">
        <color rgb="FF75004B"/>
      </right>
      <top style="thin">
        <color rgb="FFD7D8D6"/>
      </top>
      <bottom style="thin">
        <color rgb="FF71004B"/>
      </bottom>
      <diagonal/>
    </border>
    <border>
      <left/>
      <right style="thin">
        <color rgb="FF75004B"/>
      </right>
      <top style="thin">
        <color rgb="FF71004B"/>
      </top>
      <bottom/>
      <diagonal/>
    </border>
    <border>
      <left style="medium">
        <color rgb="FF75004B"/>
      </left>
      <right style="medium">
        <color rgb="FF75004B"/>
      </right>
      <top style="thin">
        <color rgb="FF71004B"/>
      </top>
      <bottom style="thin">
        <color rgb="FF71004B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75004B"/>
      </left>
      <right style="thin">
        <color rgb="FF75004B"/>
      </right>
      <top style="thin">
        <color rgb="FF000000"/>
      </top>
      <bottom style="thin">
        <color rgb="FF000000"/>
      </bottom>
      <diagonal/>
    </border>
    <border>
      <left/>
      <right style="thin">
        <color rgb="FF75004B"/>
      </right>
      <top style="thin">
        <color rgb="FF000000"/>
      </top>
      <bottom/>
      <diagonal/>
    </border>
    <border>
      <left style="thin">
        <color rgb="FF71004B"/>
      </left>
      <right style="thin">
        <color rgb="FF71004B"/>
      </right>
      <top style="thin">
        <color rgb="FF000000"/>
      </top>
      <bottom/>
      <diagonal/>
    </border>
  </borders>
  <cellStyleXfs count="63">
    <xf numFmtId="0" fontId="8" fillId="0" borderId="0"/>
    <xf numFmtId="0" fontId="3" fillId="0" borderId="0"/>
    <xf numFmtId="177" fontId="17" fillId="0" borderId="0"/>
    <xf numFmtId="0" fontId="8" fillId="2" borderId="1"/>
    <xf numFmtId="0" fontId="24" fillId="0" borderId="0"/>
    <xf numFmtId="9" fontId="8" fillId="0" borderId="0"/>
    <xf numFmtId="0" fontId="38" fillId="0" borderId="0"/>
    <xf numFmtId="0" fontId="39" fillId="0" borderId="115"/>
    <xf numFmtId="0" fontId="40" fillId="0" borderId="116"/>
    <xf numFmtId="0" fontId="41" fillId="0" borderId="117"/>
    <xf numFmtId="0" fontId="41" fillId="0" borderId="0"/>
    <xf numFmtId="0" fontId="42" fillId="8" borderId="0"/>
    <xf numFmtId="0" fontId="43" fillId="9" borderId="0"/>
    <xf numFmtId="0" fontId="44" fillId="10" borderId="0"/>
    <xf numFmtId="0" fontId="45" fillId="11" borderId="118"/>
    <xf numFmtId="0" fontId="46" fillId="12" borderId="119"/>
    <xf numFmtId="0" fontId="47" fillId="12" borderId="118"/>
    <xf numFmtId="0" fontId="48" fillId="0" borderId="120"/>
    <xf numFmtId="0" fontId="49" fillId="13" borderId="121"/>
    <xf numFmtId="0" fontId="50" fillId="0" borderId="0"/>
    <xf numFmtId="0" fontId="51" fillId="0" borderId="0"/>
    <xf numFmtId="0" fontId="52" fillId="0" borderId="123"/>
    <xf numFmtId="0" fontId="53" fillId="15" borderId="0"/>
    <xf numFmtId="0" fontId="17" fillId="16" borderId="0"/>
    <xf numFmtId="0" fontId="17" fillId="17" borderId="0"/>
    <xf numFmtId="0" fontId="53" fillId="18" borderId="0"/>
    <xf numFmtId="0" fontId="53" fillId="19" borderId="0"/>
    <xf numFmtId="0" fontId="17" fillId="20" borderId="0"/>
    <xf numFmtId="0" fontId="17" fillId="21" borderId="0"/>
    <xf numFmtId="0" fontId="53" fillId="22" borderId="0"/>
    <xf numFmtId="0" fontId="53" fillId="23" borderId="0"/>
    <xf numFmtId="0" fontId="17" fillId="24" borderId="0"/>
    <xf numFmtId="0" fontId="17" fillId="25" borderId="0"/>
    <xf numFmtId="0" fontId="53" fillId="26" borderId="0"/>
    <xf numFmtId="0" fontId="53" fillId="27" borderId="0"/>
    <xf numFmtId="0" fontId="17" fillId="28" borderId="0"/>
    <xf numFmtId="0" fontId="17" fillId="29" borderId="0"/>
    <xf numFmtId="0" fontId="53" fillId="30" borderId="0"/>
    <xf numFmtId="0" fontId="53" fillId="31" borderId="0"/>
    <xf numFmtId="0" fontId="17" fillId="32" borderId="0"/>
    <xf numFmtId="0" fontId="17" fillId="33" borderId="0"/>
    <xf numFmtId="0" fontId="53" fillId="34" borderId="0"/>
    <xf numFmtId="0" fontId="53" fillId="35" borderId="0"/>
    <xf numFmtId="0" fontId="17" fillId="36" borderId="0"/>
    <xf numFmtId="0" fontId="17" fillId="37" borderId="0"/>
    <xf numFmtId="0" fontId="53" fillId="38" borderId="0"/>
    <xf numFmtId="0" fontId="17" fillId="0" borderId="0"/>
    <xf numFmtId="0" fontId="54" fillId="0" borderId="0"/>
    <xf numFmtId="0" fontId="17" fillId="18" borderId="0"/>
    <xf numFmtId="0" fontId="17" fillId="22" borderId="0"/>
    <xf numFmtId="0" fontId="17" fillId="26" borderId="0"/>
    <xf numFmtId="0" fontId="17" fillId="30" borderId="0"/>
    <xf numFmtId="0" fontId="17" fillId="34" borderId="0"/>
    <xf numFmtId="0" fontId="17" fillId="38" borderId="0"/>
    <xf numFmtId="0" fontId="56" fillId="10" borderId="0"/>
    <xf numFmtId="177" fontId="17" fillId="0" borderId="0"/>
    <xf numFmtId="0" fontId="8" fillId="0" borderId="0"/>
    <xf numFmtId="177" fontId="8" fillId="0" borderId="0"/>
    <xf numFmtId="0" fontId="17" fillId="0" borderId="0"/>
    <xf numFmtId="0" fontId="17" fillId="14" borderId="122"/>
    <xf numFmtId="0" fontId="55" fillId="39" borderId="0"/>
    <xf numFmtId="0" fontId="57" fillId="0" borderId="0"/>
    <xf numFmtId="0" fontId="17" fillId="0" borderId="0"/>
  </cellStyleXfs>
  <cellXfs count="619">
    <xf numFmtId="0" fontId="0" fillId="0" borderId="0" pivotButton="0" quotePrefix="0" xfId="0"/>
    <xf numFmtId="0" fontId="5" fillId="0" borderId="0" pivotButton="0" quotePrefix="0" xfId="0"/>
    <xf numFmtId="0" fontId="5" fillId="0" borderId="0" pivotButton="0" quotePrefix="0" xfId="0"/>
    <xf numFmtId="0" fontId="0" fillId="0" borderId="0" pivotButton="0" quotePrefix="0" xfId="0"/>
    <xf numFmtId="0" fontId="5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horizontal="center"/>
    </xf>
    <xf numFmtId="0" fontId="11" fillId="0" borderId="0" pivotButton="0" quotePrefix="0" xfId="0"/>
    <xf numFmtId="0" fontId="0" fillId="0" borderId="0" pivotButton="0" quotePrefix="0" xfId="0"/>
    <xf numFmtId="0" fontId="5" fillId="0" borderId="0" pivotButton="0" quotePrefix="0" xfId="0"/>
    <xf numFmtId="164" fontId="5" fillId="0" borderId="0" pivotButton="0" quotePrefix="0" xfId="0"/>
    <xf numFmtId="2" fontId="5" fillId="0" borderId="0" applyAlignment="1" pivotButton="0" quotePrefix="0" xfId="0">
      <alignment horizontal="center"/>
    </xf>
    <xf numFmtId="164" fontId="4" fillId="0" borderId="0" pivotButton="0" quotePrefix="0" xfId="0"/>
    <xf numFmtId="2" fontId="5" fillId="0" borderId="0" applyAlignment="1" pivotButton="0" quotePrefix="0" xfId="0">
      <alignment horizontal="left"/>
    </xf>
    <xf numFmtId="0" fontId="6" fillId="0" borderId="0" applyAlignment="1" pivotButton="0" quotePrefix="0" xfId="0">
      <alignment horizontal="center"/>
    </xf>
    <xf numFmtId="0" fontId="12" fillId="0" borderId="0" pivotButton="0" quotePrefix="0" xfId="0"/>
    <xf numFmtId="0" fontId="0" fillId="0" borderId="0" pivotButton="0" quotePrefix="0" xfId="0"/>
    <xf numFmtId="0" fontId="12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9" fillId="0" borderId="0" pivotButton="0" quotePrefix="0" xfId="0"/>
    <xf numFmtId="0" fontId="20" fillId="3" borderId="8" applyAlignment="1" pivotButton="0" quotePrefix="0" xfId="0">
      <alignment vertical="center"/>
    </xf>
    <xf numFmtId="0" fontId="0" fillId="0" borderId="0" pivotButton="0" quotePrefix="0" xfId="0"/>
    <xf numFmtId="0" fontId="18" fillId="3" borderId="10" applyAlignment="1" pivotButton="0" quotePrefix="0" xfId="0">
      <alignment horizontal="left" vertical="center"/>
    </xf>
    <xf numFmtId="165" fontId="5" fillId="0" borderId="0" pivotButton="0" quotePrefix="0" xfId="0"/>
    <xf numFmtId="166" fontId="5" fillId="0" borderId="0" applyAlignment="1" pivotButton="0" quotePrefix="0" xfId="0">
      <alignment horizontal="left"/>
    </xf>
    <xf numFmtId="2" fontId="20" fillId="3" borderId="7" applyAlignment="1" pivotButton="0" quotePrefix="0" xfId="0">
      <alignment horizontal="center" vertical="center"/>
    </xf>
    <xf numFmtId="2" fontId="20" fillId="3" borderId="9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 wrapText="1"/>
    </xf>
    <xf numFmtId="0" fontId="20" fillId="0" borderId="8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top" wrapText="1"/>
    </xf>
    <xf numFmtId="0" fontId="14" fillId="0" borderId="0" applyAlignment="1" pivotButton="0" quotePrefix="0" xfId="0">
      <alignment vertical="top" wrapText="1"/>
    </xf>
    <xf numFmtId="0" fontId="14" fillId="0" borderId="0" applyAlignment="1" pivotButton="0" quotePrefix="0" xfId="0">
      <alignment vertical="top" wrapText="1"/>
    </xf>
    <xf numFmtId="0" fontId="14" fillId="0" borderId="2" applyAlignment="1" pivotButton="0" quotePrefix="0" xfId="0">
      <alignment vertical="top" wrapText="1"/>
    </xf>
    <xf numFmtId="0" fontId="14" fillId="0" borderId="0" applyAlignment="1" pivotButton="0" quotePrefix="0" xfId="0">
      <alignment vertical="top"/>
    </xf>
    <xf numFmtId="0" fontId="14" fillId="0" borderId="2" applyAlignment="1" pivotButton="0" quotePrefix="0" xfId="0">
      <alignment vertical="top"/>
    </xf>
    <xf numFmtId="0" fontId="7" fillId="0" borderId="0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4" fillId="0" borderId="0" applyAlignment="1" pivotButton="0" quotePrefix="0" xfId="0">
      <alignment horizontal="right" vertical="center" wrapText="1"/>
    </xf>
    <xf numFmtId="2" fontId="4" fillId="0" borderId="0" applyAlignment="1" pivotButton="0" quotePrefix="0" xfId="0">
      <alignment horizontal="right" vertical="center" wrapText="1"/>
    </xf>
    <xf numFmtId="164" fontId="18" fillId="3" borderId="5" applyAlignment="1" pivotButton="0" quotePrefix="0" xfId="0">
      <alignment horizontal="center" vertical="center" wrapText="1"/>
    </xf>
    <xf numFmtId="164" fontId="18" fillId="3" borderId="11" applyAlignment="1" pivotButton="0" quotePrefix="0" xfId="0">
      <alignment horizontal="center" vertical="center" wrapText="1"/>
    </xf>
    <xf numFmtId="166" fontId="16" fillId="0" borderId="14" applyAlignment="1" applyProtection="1" pivotButton="0" quotePrefix="0" xfId="0">
      <alignment horizontal="center" vertical="center" wrapText="1"/>
      <protection locked="0" hidden="0"/>
    </xf>
    <xf numFmtId="166" fontId="16" fillId="0" borderId="15" applyAlignment="1" applyProtection="1" pivotButton="0" quotePrefix="0" xfId="0">
      <alignment horizontal="center" vertical="center" wrapText="1"/>
      <protection locked="0" hidden="0"/>
    </xf>
    <xf numFmtId="166" fontId="16" fillId="0" borderId="0" applyAlignment="1" applyProtection="1" pivotButton="0" quotePrefix="0" xfId="0">
      <alignment horizontal="center"/>
      <protection locked="0" hidden="0"/>
    </xf>
    <xf numFmtId="0" fontId="18" fillId="3" borderId="5" applyAlignment="1" applyProtection="1" pivotButton="0" quotePrefix="0" xfId="0">
      <alignment horizontal="center" vertical="center" wrapText="1"/>
      <protection locked="0" hidden="0"/>
    </xf>
    <xf numFmtId="0" fontId="18" fillId="3" borderId="11" applyAlignment="1" applyProtection="1" pivotButton="0" quotePrefix="0" xfId="0">
      <alignment horizontal="center" vertical="center" wrapText="1"/>
      <protection locked="0" hidden="0"/>
    </xf>
    <xf numFmtId="0" fontId="20" fillId="3" borderId="6" applyAlignment="1" pivotButton="0" quotePrefix="0" xfId="0">
      <alignment vertical="center" wrapText="1"/>
    </xf>
    <xf numFmtId="164" fontId="18" fillId="3" borderId="20" applyAlignment="1" pivotButton="0" quotePrefix="0" xfId="0">
      <alignment vertical="center" wrapText="1"/>
    </xf>
    <xf numFmtId="164" fontId="18" fillId="3" borderId="10" applyAlignment="1" pivotButton="0" quotePrefix="0" xfId="0">
      <alignment horizontal="left" vertical="center" wrapText="1"/>
    </xf>
    <xf numFmtId="0" fontId="16" fillId="0" borderId="18" applyAlignment="1" pivotButton="0" quotePrefix="0" xfId="0">
      <alignment horizontal="left" vertical="center" wrapText="1"/>
    </xf>
    <xf numFmtId="164" fontId="18" fillId="3" borderId="20" applyAlignment="1" pivotButton="0" quotePrefix="0" xfId="0">
      <alignment horizontal="left" vertical="center" wrapText="1"/>
    </xf>
    <xf numFmtId="2" fontId="5" fillId="0" borderId="0" applyAlignment="1" pivotButton="0" quotePrefix="0" xfId="0">
      <alignment horizontal="center"/>
    </xf>
    <xf numFmtId="49" fontId="5" fillId="0" borderId="0" applyAlignment="1" pivotButton="0" quotePrefix="0" xfId="0">
      <alignment vertical="center" wrapText="1"/>
    </xf>
    <xf numFmtId="1" fontId="5" fillId="0" borderId="0" applyAlignment="1" pivotButton="0" quotePrefix="0" xfId="0">
      <alignment vertical="center" wrapText="1"/>
    </xf>
    <xf numFmtId="49" fontId="16" fillId="0" borderId="7" applyAlignment="1" applyProtection="1" pivotButton="0" quotePrefix="0" xfId="0">
      <alignment horizontal="center" vertical="center" wrapText="1"/>
      <protection locked="0" hidden="0"/>
    </xf>
    <xf numFmtId="49" fontId="16" fillId="0" borderId="9" applyAlignment="1" applyProtection="1" pivotButton="0" quotePrefix="0" xfId="0">
      <alignment horizontal="center" vertical="center" wrapText="1"/>
      <protection locked="0" hidden="0"/>
    </xf>
    <xf numFmtId="49" fontId="16" fillId="0" borderId="9" applyAlignment="1" applyProtection="1" pivotButton="0" quotePrefix="0" xfId="0">
      <alignment horizontal="center" vertical="center" wrapText="1"/>
      <protection locked="0" hidden="0"/>
    </xf>
    <xf numFmtId="49" fontId="20" fillId="3" borderId="7" applyAlignment="1" pivotButton="0" quotePrefix="0" xfId="0">
      <alignment horizontal="center" vertical="center"/>
    </xf>
    <xf numFmtId="49" fontId="20" fillId="3" borderId="9" applyAlignment="1" pivotButton="0" quotePrefix="0" xfId="0">
      <alignment horizontal="center" vertical="center"/>
    </xf>
    <xf numFmtId="49" fontId="20" fillId="3" borderId="6" applyAlignment="1" pivotButton="0" quotePrefix="0" xfId="0">
      <alignment vertical="center" wrapText="1"/>
    </xf>
    <xf numFmtId="0" fontId="15" fillId="0" borderId="7" applyAlignment="1" pivotButton="0" quotePrefix="0" xfId="0">
      <alignment horizontal="center" vertical="center" wrapText="1"/>
    </xf>
    <xf numFmtId="0" fontId="5" fillId="0" borderId="0" pivotButton="0" quotePrefix="0" xfId="0"/>
    <xf numFmtId="0" fontId="18" fillId="3" borderId="24" applyAlignment="1" pivotButton="0" quotePrefix="0" xfId="0">
      <alignment horizontal="center" vertical="center" wrapText="1"/>
    </xf>
    <xf numFmtId="0" fontId="18" fillId="3" borderId="25" applyAlignment="1" pivotButton="0" quotePrefix="0" xfId="0">
      <alignment horizontal="center" vertical="center" wrapText="1"/>
    </xf>
    <xf numFmtId="0" fontId="18" fillId="3" borderId="26" applyAlignment="1" pivotButton="0" quotePrefix="0" xfId="0">
      <alignment horizontal="center" vertical="center"/>
    </xf>
    <xf numFmtId="0" fontId="16" fillId="0" borderId="0" applyAlignment="1" applyProtection="1" pivotButton="0" quotePrefix="0" xfId="0">
      <alignment horizontal="left" vertical="center" wrapText="1"/>
      <protection locked="0" hidden="0"/>
    </xf>
    <xf numFmtId="0" fontId="16" fillId="0" borderId="31" applyAlignment="1" applyProtection="1" pivotButton="0" quotePrefix="0" xfId="0">
      <alignment horizontal="left" vertical="center" wrapText="1"/>
      <protection locked="0" hidden="0"/>
    </xf>
    <xf numFmtId="164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33" applyAlignment="1" applyProtection="1" pivotButton="0" quotePrefix="0" xfId="0">
      <alignment horizontal="center" vertical="center" wrapText="1"/>
      <protection locked="0" hidden="0"/>
    </xf>
    <xf numFmtId="164" fontId="16" fillId="0" borderId="33" applyAlignment="1" applyProtection="1" pivotButton="0" quotePrefix="0" xfId="0">
      <alignment horizontal="center" vertical="center" wrapText="1"/>
      <protection locked="0" hidden="0"/>
    </xf>
    <xf numFmtId="164" fontId="16" fillId="0" borderId="36" applyAlignment="1" applyProtection="1" pivotButton="0" quotePrefix="0" xfId="0">
      <alignment horizontal="center" vertical="center" wrapText="1"/>
      <protection locked="0" hidden="0"/>
    </xf>
    <xf numFmtId="2" fontId="16" fillId="0" borderId="39" applyAlignment="1" applyProtection="1" pivotButton="0" quotePrefix="0" xfId="0">
      <alignment horizontal="center" vertical="center" wrapText="1"/>
      <protection locked="0" hidden="0"/>
    </xf>
    <xf numFmtId="2" fontId="16" fillId="0" borderId="40" applyAlignment="1" applyProtection="1" pivotButton="0" quotePrefix="0" xfId="0">
      <alignment horizontal="center" vertical="center" wrapText="1"/>
      <protection locked="0" hidden="0"/>
    </xf>
    <xf numFmtId="164" fontId="16" fillId="0" borderId="45" applyAlignment="1" applyProtection="1" pivotButton="0" quotePrefix="0" xfId="0">
      <alignment horizontal="center" vertical="center" wrapText="1"/>
      <protection locked="0" hidden="0"/>
    </xf>
    <xf numFmtId="0" fontId="16" fillId="0" borderId="38" applyAlignment="1" pivotButton="0" quotePrefix="0" xfId="0">
      <alignment horizontal="left" vertical="center" wrapText="1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0" fontId="16" fillId="0" borderId="19" applyAlignment="1" pivotButton="0" quotePrefix="0" xfId="0">
      <alignment horizontal="left" vertical="center" wrapText="1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37" applyAlignment="1" applyProtection="1" pivotButton="0" quotePrefix="0" xfId="0">
      <alignment horizontal="center" vertical="center" wrapText="1"/>
      <protection locked="0" hidden="0"/>
    </xf>
    <xf numFmtId="0" fontId="14" fillId="0" borderId="19" applyAlignment="1" pivotButton="0" quotePrefix="0" xfId="0">
      <alignment horizontal="left" vertical="center" wrapText="1"/>
    </xf>
    <xf numFmtId="0" fontId="14" fillId="0" borderId="38" applyAlignment="1" pivotButton="0" quotePrefix="0" xfId="0">
      <alignment horizontal="left" vertical="center" wrapText="1"/>
    </xf>
    <xf numFmtId="9" fontId="0" fillId="0" borderId="0" pivotButton="0" quotePrefix="0" xfId="0"/>
    <xf numFmtId="0" fontId="18" fillId="0" borderId="18" applyAlignment="1" pivotButton="0" quotePrefix="0" xfId="0">
      <alignment vertical="center" wrapText="1"/>
    </xf>
    <xf numFmtId="0" fontId="15" fillId="0" borderId="49" applyAlignment="1" pivotButton="0" quotePrefix="0" xfId="0">
      <alignment vertical="center" wrapText="1"/>
    </xf>
    <xf numFmtId="0" fontId="15" fillId="0" borderId="38" applyAlignment="1" pivotButton="0" quotePrefix="0" xfId="0">
      <alignment vertical="center" wrapText="1"/>
    </xf>
    <xf numFmtId="0" fontId="15" fillId="0" borderId="19" applyAlignment="1" pivotButton="0" quotePrefix="0" xfId="0">
      <alignment vertical="center" wrapText="1"/>
    </xf>
    <xf numFmtId="2" fontId="16" fillId="0" borderId="32" applyAlignment="1" applyProtection="1" pivotButton="0" quotePrefix="0" xfId="0">
      <alignment horizontal="center" vertical="center" wrapText="1"/>
      <protection locked="0" hidden="0"/>
    </xf>
    <xf numFmtId="2" fontId="16" fillId="0" borderId="37" applyAlignment="1" applyProtection="1" pivotButton="0" quotePrefix="0" xfId="0">
      <alignment horizontal="center" vertical="center" wrapText="1"/>
      <protection locked="0" hidden="0"/>
    </xf>
    <xf numFmtId="0" fontId="15" fillId="0" borderId="38" applyAlignment="1" pivotButton="0" quotePrefix="0" xfId="0">
      <alignment vertical="top" wrapText="1"/>
    </xf>
    <xf numFmtId="2" fontId="16" fillId="0" borderId="32" applyAlignment="1" pivotButton="0" quotePrefix="0" xfId="0">
      <alignment horizontal="center" vertical="center" wrapText="1"/>
    </xf>
    <xf numFmtId="2" fontId="16" fillId="0" borderId="37" applyAlignment="1" pivotButton="0" quotePrefix="0" xfId="0">
      <alignment horizontal="center" vertical="center" wrapText="1"/>
    </xf>
    <xf numFmtId="2" fontId="16" fillId="0" borderId="32" applyAlignment="1" pivotButton="0" quotePrefix="1" xfId="0">
      <alignment horizontal="center" vertical="center" wrapText="1"/>
    </xf>
    <xf numFmtId="2" fontId="16" fillId="0" borderId="37" applyAlignment="1" pivotButton="0" quotePrefix="1" xfId="0">
      <alignment horizontal="center" vertical="center" wrapText="1"/>
    </xf>
    <xf numFmtId="2" fontId="16" fillId="0" borderId="39" applyAlignment="1" pivotButton="0" quotePrefix="0" xfId="0">
      <alignment horizontal="center" vertical="center" wrapText="1"/>
    </xf>
    <xf numFmtId="2" fontId="16" fillId="0" borderId="40" applyAlignment="1" pivotButton="0" quotePrefix="0" xfId="0">
      <alignment horizontal="center" vertical="center" wrapText="1"/>
    </xf>
    <xf numFmtId="49" fontId="16" fillId="0" borderId="32" applyAlignment="1" applyProtection="1" pivotButton="0" quotePrefix="0" xfId="0">
      <alignment horizontal="center" vertical="center" wrapText="1"/>
      <protection locked="0" hidden="0"/>
    </xf>
    <xf numFmtId="49" fontId="16" fillId="0" borderId="37" applyAlignment="1" applyProtection="1" pivotButton="0" quotePrefix="0" xfId="0">
      <alignment horizontal="center" vertical="center" wrapText="1"/>
      <protection locked="0" hidden="0"/>
    </xf>
    <xf numFmtId="49" fontId="15" fillId="0" borderId="38" applyAlignment="1" pivotButton="0" quotePrefix="0" xfId="0">
      <alignment vertical="center" wrapText="1"/>
    </xf>
    <xf numFmtId="49" fontId="16" fillId="0" borderId="39" applyAlignment="1" applyProtection="1" pivotButton="0" quotePrefix="1" xfId="0">
      <alignment horizontal="center" vertical="center" wrapText="1"/>
      <protection locked="0" hidden="0"/>
    </xf>
    <xf numFmtId="49" fontId="16" fillId="0" borderId="40" applyAlignment="1" applyProtection="1" pivotButton="0" quotePrefix="1" xfId="0">
      <alignment horizontal="center" vertical="center" wrapText="1"/>
      <protection locked="0" hidden="0"/>
    </xf>
    <xf numFmtId="1" fontId="15" fillId="0" borderId="19" applyAlignment="1" pivotButton="0" quotePrefix="0" xfId="0">
      <alignment vertical="center" wrapText="1"/>
    </xf>
    <xf numFmtId="49" fontId="16" fillId="0" borderId="50" applyAlignment="1" applyProtection="1" pivotButton="0" quotePrefix="0" xfId="0">
      <alignment horizontal="center" vertical="center" wrapText="1"/>
      <protection locked="0" hidden="0"/>
    </xf>
    <xf numFmtId="49" fontId="16" fillId="0" borderId="51" applyAlignment="1" applyProtection="1" pivotButton="0" quotePrefix="0" xfId="0">
      <alignment horizontal="center" vertical="center" wrapText="1"/>
      <protection locked="0" hidden="0"/>
    </xf>
    <xf numFmtId="0" fontId="18" fillId="3" borderId="14" applyAlignment="1" pivotButton="0" quotePrefix="0" xfId="0">
      <alignment horizontal="center"/>
    </xf>
    <xf numFmtId="0" fontId="18" fillId="3" borderId="52" applyAlignment="1" pivotButton="0" quotePrefix="0" xfId="0">
      <alignment horizontal="center"/>
    </xf>
    <xf numFmtId="0" fontId="0" fillId="0" borderId="53" applyAlignment="1" pivotButton="0" quotePrefix="0" xfId="0">
      <alignment horizontal="center"/>
    </xf>
    <xf numFmtId="166" fontId="16" fillId="0" borderId="32" applyAlignment="1" pivotButton="0" quotePrefix="0" xfId="0">
      <alignment horizontal="center" vertical="center" wrapText="1"/>
    </xf>
    <xf numFmtId="166" fontId="16" fillId="0" borderId="37" applyAlignment="1" pivotButton="0" quotePrefix="0" xfId="0">
      <alignment horizontal="center" vertical="center" wrapText="1"/>
    </xf>
    <xf numFmtId="0" fontId="16" fillId="0" borderId="39" applyAlignment="1" pivotButton="0" quotePrefix="1" xfId="0">
      <alignment horizontal="center" vertical="center" wrapText="1"/>
    </xf>
    <xf numFmtId="9" fontId="16" fillId="0" borderId="39" applyAlignment="1" pivotButton="0" quotePrefix="0" xfId="0">
      <alignment horizontal="center" vertical="center" wrapText="1"/>
    </xf>
    <xf numFmtId="9" fontId="16" fillId="0" borderId="40" applyAlignment="1" pivotButton="0" quotePrefix="0" xfId="0">
      <alignment horizontal="center" vertical="center" wrapText="1"/>
    </xf>
    <xf numFmtId="0" fontId="26" fillId="0" borderId="14" applyAlignment="1" applyProtection="1" pivotButton="0" quotePrefix="0" xfId="0">
      <alignment horizontal="center" vertical="center" wrapText="1"/>
      <protection locked="0" hidden="0"/>
    </xf>
    <xf numFmtId="0" fontId="26" fillId="0" borderId="15" applyAlignment="1" applyProtection="1" pivotButton="0" quotePrefix="0" xfId="0">
      <alignment horizontal="center" vertical="center" wrapText="1"/>
      <protection locked="0" hidden="0"/>
    </xf>
    <xf numFmtId="0" fontId="14" fillId="0" borderId="12" applyAlignment="1" pivotButton="0" quotePrefix="0" xfId="0">
      <alignment vertical="top"/>
    </xf>
    <xf numFmtId="0" fontId="22" fillId="0" borderId="0" applyAlignment="1" pivotButton="0" quotePrefix="0" xfId="0">
      <alignment vertical="center"/>
    </xf>
    <xf numFmtId="0" fontId="12" fillId="0" borderId="0" pivotButton="0" quotePrefix="0" xfId="0"/>
    <xf numFmtId="0" fontId="0" fillId="0" borderId="0" pivotButton="0" quotePrefix="0" xfId="0"/>
    <xf numFmtId="0" fontId="16" fillId="0" borderId="39" applyAlignment="1" applyProtection="1" pivotButton="0" quotePrefix="0" xfId="0">
      <alignment horizontal="center" vertical="center" wrapText="1"/>
      <protection locked="0" hidden="0"/>
    </xf>
    <xf numFmtId="0" fontId="16" fillId="0" borderId="40" applyAlignment="1" applyProtection="1" pivotButton="0" quotePrefix="0" xfId="0">
      <alignment horizontal="center" vertical="center" wrapText="1"/>
      <protection locked="0" hidden="0"/>
    </xf>
    <xf numFmtId="1" fontId="16" fillId="0" borderId="32" applyAlignment="1" applyProtection="1" pivotButton="0" quotePrefix="0" xfId="0">
      <alignment horizontal="center" vertical="center" wrapText="1"/>
      <protection locked="0" hidden="0"/>
    </xf>
    <xf numFmtId="1" fontId="16" fillId="0" borderId="37" applyAlignment="1" applyProtection="1" pivotButton="0" quotePrefix="0" xfId="0">
      <alignment horizontal="center" vertical="center" wrapText="1"/>
      <protection locked="0" hidden="0"/>
    </xf>
    <xf numFmtId="0" fontId="30" fillId="0" borderId="0" applyAlignment="1" pivotButton="0" quotePrefix="0" xfId="0">
      <alignment horizontal="left" vertical="center" indent="1"/>
    </xf>
    <xf numFmtId="0" fontId="0" fillId="5" borderId="0" pivotButton="0" quotePrefix="0" xfId="0"/>
    <xf numFmtId="164" fontId="16" fillId="0" borderId="13" applyAlignment="1" applyProtection="1" pivotButton="0" quotePrefix="0" xfId="0">
      <alignment horizontal="center" vertical="center" wrapText="1"/>
      <protection locked="0" hidden="0"/>
    </xf>
    <xf numFmtId="164" fontId="16" fillId="0" borderId="48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166" fontId="16" fillId="0" borderId="54" applyAlignment="1" applyProtection="1" pivotButton="0" quotePrefix="0" xfId="0">
      <alignment horizontal="center" vertical="center" wrapText="1"/>
      <protection locked="0" hidden="0"/>
    </xf>
    <xf numFmtId="0" fontId="18" fillId="3" borderId="0" pivotButton="0" quotePrefix="0" xfId="0"/>
    <xf numFmtId="164" fontId="0" fillId="0" borderId="0" pivotButton="0" quotePrefix="0" xfId="0"/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164" fontId="18" fillId="3" borderId="58" applyAlignment="1" pivotButton="0" quotePrefix="0" xfId="0">
      <alignment vertical="center" wrapText="1"/>
    </xf>
    <xf numFmtId="166" fontId="16" fillId="0" borderId="15" applyAlignment="1" pivotButton="0" quotePrefix="0" xfId="0">
      <alignment horizontal="center" vertical="center" wrapText="1"/>
    </xf>
    <xf numFmtId="166" fontId="16" fillId="0" borderId="59" applyAlignment="1" applyProtection="1" pivotButton="0" quotePrefix="0" xfId="0">
      <alignment horizontal="center" vertical="center" wrapText="1"/>
      <protection locked="0" hidden="0"/>
    </xf>
    <xf numFmtId="164" fontId="16" fillId="0" borderId="60" applyAlignment="1" applyProtection="1" pivotButton="0" quotePrefix="0" xfId="0">
      <alignment horizontal="center" vertical="center" wrapText="1"/>
      <protection locked="0" hidden="0"/>
    </xf>
    <xf numFmtId="164" fontId="16" fillId="0" borderId="34" applyAlignment="1" applyProtection="1" pivotButton="0" quotePrefix="0" xfId="0">
      <alignment horizontal="center" vertical="center" wrapText="1"/>
      <protection locked="0" hidden="0"/>
    </xf>
    <xf numFmtId="164" fontId="16" fillId="0" borderId="55" applyAlignment="1" applyProtection="1" pivotButton="0" quotePrefix="0" xfId="0">
      <alignment horizontal="center" vertical="center" wrapText="1"/>
      <protection locked="0" hidden="0"/>
    </xf>
    <xf numFmtId="164" fontId="16" fillId="0" borderId="35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0" fontId="32" fillId="3" borderId="63" applyAlignment="1" pivotButton="0" quotePrefix="0" xfId="0">
      <alignment horizontal="center"/>
    </xf>
    <xf numFmtId="0" fontId="32" fillId="3" borderId="12" applyAlignment="1" pivotButton="0" quotePrefix="0" xfId="0">
      <alignment horizontal="center"/>
    </xf>
    <xf numFmtId="0" fontId="32" fillId="3" borderId="15" applyAlignment="1" pivotButton="0" quotePrefix="0" xfId="0">
      <alignment horizontal="center"/>
    </xf>
    <xf numFmtId="164" fontId="16" fillId="0" borderId="44" applyAlignment="1" applyProtection="1" pivotButton="0" quotePrefix="0" xfId="0">
      <alignment horizontal="center" vertical="center" wrapText="1"/>
      <protection locked="0" hidden="0"/>
    </xf>
    <xf numFmtId="164" fontId="16" fillId="0" borderId="57" applyAlignment="1" applyProtection="1" pivotButton="0" quotePrefix="0" xfId="0">
      <alignment horizontal="center" vertical="center" wrapText="1"/>
      <protection locked="0" hidden="0"/>
    </xf>
    <xf numFmtId="0" fontId="0" fillId="0" borderId="0" applyAlignment="1" pivotButton="0" quotePrefix="1" xfId="0">
      <alignment horizontal="right"/>
    </xf>
    <xf numFmtId="0" fontId="32" fillId="3" borderId="65" applyAlignment="1" pivotButton="0" quotePrefix="0" xfId="0">
      <alignment horizontal="center"/>
    </xf>
    <xf numFmtId="0" fontId="32" fillId="3" borderId="67" applyAlignment="1" pivotButton="0" quotePrefix="0" xfId="0">
      <alignment horizontal="center"/>
    </xf>
    <xf numFmtId="164" fontId="16" fillId="0" borderId="68" applyAlignment="1" applyProtection="1" pivotButton="0" quotePrefix="0" xfId="0">
      <alignment horizontal="center" vertical="center" wrapText="1"/>
      <protection locked="0" hidden="0"/>
    </xf>
    <xf numFmtId="164" fontId="16" fillId="0" borderId="69" applyAlignment="1" applyProtection="1" pivotButton="0" quotePrefix="0" xfId="0">
      <alignment horizontal="center" vertical="center" wrapText="1"/>
      <protection locked="0" hidden="0"/>
    </xf>
    <xf numFmtId="0" fontId="0" fillId="0" borderId="66" applyProtection="1" pivotButton="0" quotePrefix="0" xfId="0">
      <protection locked="0" hidden="0"/>
    </xf>
    <xf numFmtId="0" fontId="0" fillId="0" borderId="64" applyProtection="1" pivotButton="0" quotePrefix="0" xfId="0">
      <protection locked="0" hidden="0"/>
    </xf>
    <xf numFmtId="0" fontId="0" fillId="0" borderId="7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164" fontId="0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9" fillId="5" borderId="0" pivotButton="0" quotePrefix="0" xfId="0"/>
    <xf numFmtId="0" fontId="12" fillId="5" borderId="0" pivotButton="0" quotePrefix="0" xfId="0"/>
    <xf numFmtId="0" fontId="0" fillId="5" borderId="0" pivotButton="0" quotePrefix="0" xfId="0"/>
    <xf numFmtId="0" fontId="19" fillId="0" borderId="0" applyAlignment="1" pivotButton="0" quotePrefix="0" xfId="0">
      <alignment horizontal="left"/>
    </xf>
    <xf numFmtId="0" fontId="18" fillId="3" borderId="18" applyAlignment="1" pivotButton="0" quotePrefix="0" xfId="0">
      <alignment horizontal="center"/>
    </xf>
    <xf numFmtId="168" fontId="19" fillId="0" borderId="0" applyProtection="1" pivotButton="0" quotePrefix="0" xfId="0">
      <protection locked="0" hidden="0"/>
    </xf>
    <xf numFmtId="0" fontId="19" fillId="0" borderId="0" applyProtection="1" pivotButton="0" quotePrefix="0" xfId="0">
      <protection locked="0" hidden="0"/>
    </xf>
    <xf numFmtId="0" fontId="19" fillId="0" borderId="0" pivotButton="0" quotePrefix="0" xfId="0"/>
    <xf numFmtId="0" fontId="19" fillId="0" borderId="0" applyAlignment="1" applyProtection="1" pivotButton="0" quotePrefix="0" xfId="0">
      <alignment vertical="top" wrapText="1"/>
      <protection locked="0" hidden="0"/>
    </xf>
    <xf numFmtId="168" fontId="5" fillId="0" borderId="0" applyProtection="1" pivotButton="0" quotePrefix="0" xfId="0">
      <protection locked="0" hidden="0"/>
    </xf>
    <xf numFmtId="0" fontId="5" fillId="0" borderId="0" applyProtection="1" pivotButton="0" quotePrefix="0" xfId="0">
      <protection locked="0" hidden="0"/>
    </xf>
    <xf numFmtId="0" fontId="5" fillId="0" borderId="0" applyAlignment="1" applyProtection="1" pivotButton="0" quotePrefix="0" xfId="0">
      <alignment vertical="top" wrapText="1"/>
      <protection locked="0" hidden="0"/>
    </xf>
    <xf numFmtId="0" fontId="18" fillId="3" borderId="5" applyAlignment="1" pivotButton="0" quotePrefix="0" xfId="0">
      <alignment wrapText="1"/>
    </xf>
    <xf numFmtId="0" fontId="18" fillId="3" borderId="7" applyAlignment="1" pivotButton="0" quotePrefix="0" xfId="0">
      <alignment horizontal="center"/>
    </xf>
    <xf numFmtId="168" fontId="16" fillId="0" borderId="18" applyAlignment="1" applyProtection="1" pivotButton="0" quotePrefix="0" xfId="0">
      <alignment horizontal="center" vertical="center" wrapText="1" readingOrder="1"/>
      <protection locked="0" hidden="0"/>
    </xf>
    <xf numFmtId="164" fontId="16" fillId="0" borderId="14" applyAlignment="1" applyProtection="1" pivotButton="0" quotePrefix="0" xfId="0">
      <alignment horizontal="center" vertical="center" wrapText="1" readingOrder="1"/>
      <protection locked="0" hidden="0"/>
    </xf>
    <xf numFmtId="164" fontId="16" fillId="0" borderId="14" applyAlignment="1" pivotButton="0" quotePrefix="0" xfId="0">
      <alignment horizontal="center" vertical="center" wrapText="1" readingOrder="1"/>
    </xf>
    <xf numFmtId="164" fontId="16" fillId="0" borderId="14" applyAlignment="1" applyProtection="1" pivotButton="0" quotePrefix="1" xfId="0">
      <alignment horizontal="center" vertical="center" wrapText="1" readingOrder="1"/>
      <protection locked="0" hidden="0"/>
    </xf>
    <xf numFmtId="0" fontId="16" fillId="0" borderId="15" applyAlignment="1" applyProtection="1" pivotButton="0" quotePrefix="0" xfId="0">
      <alignment horizontal="left" vertical="center" wrapText="1" readingOrder="1"/>
      <protection locked="0" hidden="0"/>
    </xf>
    <xf numFmtId="168" fontId="16" fillId="0" borderId="71" applyAlignment="1" applyProtection="1" pivotButton="0" quotePrefix="0" xfId="0">
      <alignment horizontal="center" vertical="center" wrapText="1" readingOrder="1"/>
      <protection locked="0" hidden="0"/>
    </xf>
    <xf numFmtId="164" fontId="16" fillId="0" borderId="72" applyAlignment="1" applyProtection="1" pivotButton="0" quotePrefix="0" xfId="0">
      <alignment horizontal="center" vertical="center" wrapText="1" readingOrder="1"/>
      <protection locked="0" hidden="0"/>
    </xf>
    <xf numFmtId="164" fontId="16" fillId="0" borderId="72" applyAlignment="1" pivotButton="0" quotePrefix="0" xfId="0">
      <alignment horizontal="center" vertical="center" wrapText="1" readingOrder="1"/>
    </xf>
    <xf numFmtId="164" fontId="16" fillId="0" borderId="72" applyAlignment="1" applyProtection="1" pivotButton="0" quotePrefix="1" xfId="0">
      <alignment horizontal="center" vertical="center" wrapText="1" readingOrder="1"/>
      <protection locked="0" hidden="0"/>
    </xf>
    <xf numFmtId="0" fontId="16" fillId="0" borderId="73" applyAlignment="1" applyProtection="1" pivotButton="0" quotePrefix="0" xfId="0">
      <alignment horizontal="left" vertical="center" wrapText="1" readingOrder="1"/>
      <protection locked="0" hidden="0"/>
    </xf>
    <xf numFmtId="168" fontId="16" fillId="0" borderId="38" applyAlignment="1" applyProtection="1" pivotButton="0" quotePrefix="0" xfId="0">
      <alignment horizontal="center" vertical="center" wrapText="1" readingOrder="1"/>
      <protection locked="0" hidden="0"/>
    </xf>
    <xf numFmtId="164" fontId="16" fillId="0" borderId="39" applyAlignment="1" applyProtection="1" pivotButton="0" quotePrefix="0" xfId="0">
      <alignment horizontal="center" vertical="center" wrapText="1" readingOrder="1"/>
      <protection locked="0" hidden="0"/>
    </xf>
    <xf numFmtId="164" fontId="16" fillId="0" borderId="39" applyAlignment="1" pivotButton="0" quotePrefix="0" xfId="0">
      <alignment horizontal="center" vertical="center" wrapText="1" readingOrder="1"/>
    </xf>
    <xf numFmtId="164" fontId="16" fillId="0" borderId="39" applyAlignment="1" applyProtection="1" pivotButton="0" quotePrefix="1" xfId="0">
      <alignment horizontal="center" vertical="center" wrapText="1" readingOrder="1"/>
      <protection locked="0" hidden="0"/>
    </xf>
    <xf numFmtId="0" fontId="16" fillId="0" borderId="40" applyAlignment="1" applyProtection="1" pivotButton="0" quotePrefix="0" xfId="0">
      <alignment horizontal="left" vertical="center" wrapText="1" readingOrder="1"/>
      <protection locked="0" hidden="0"/>
    </xf>
    <xf numFmtId="168" fontId="16" fillId="0" borderId="19" applyAlignment="1" applyProtection="1" pivotButton="0" quotePrefix="0" xfId="0">
      <alignment horizontal="center" vertical="center" wrapText="1" readingOrder="1"/>
      <protection locked="0" hidden="0"/>
    </xf>
    <xf numFmtId="164" fontId="16" fillId="0" borderId="32" applyAlignment="1" applyProtection="1" pivotButton="0" quotePrefix="0" xfId="0">
      <alignment horizontal="center" vertical="center" wrapText="1" readingOrder="1"/>
      <protection locked="0" hidden="0"/>
    </xf>
    <xf numFmtId="164" fontId="16" fillId="0" borderId="32" applyAlignment="1" pivotButton="0" quotePrefix="0" xfId="0">
      <alignment horizontal="center" vertical="center" wrapText="1" readingOrder="1"/>
    </xf>
    <xf numFmtId="164" fontId="16" fillId="0" borderId="32" applyAlignment="1" applyProtection="1" pivotButton="0" quotePrefix="1" xfId="0">
      <alignment horizontal="center" vertical="center" wrapText="1" readingOrder="1"/>
      <protection locked="0" hidden="0"/>
    </xf>
    <xf numFmtId="0" fontId="16" fillId="0" borderId="37" applyAlignment="1" applyProtection="1" pivotButton="0" quotePrefix="0" xfId="0">
      <alignment horizontal="left" vertical="center" wrapText="1" readingOrder="1"/>
      <protection locked="0" hidden="0"/>
    </xf>
    <xf numFmtId="168" fontId="5" fillId="0" borderId="38" applyAlignment="1" applyProtection="1" pivotButton="0" quotePrefix="0" xfId="0">
      <alignment horizontal="center" vertical="center" wrapText="1"/>
      <protection locked="0" hidden="0"/>
    </xf>
    <xf numFmtId="0" fontId="5" fillId="0" borderId="39" applyAlignment="1" applyProtection="1" pivotButton="0" quotePrefix="0" xfId="0">
      <alignment horizontal="center" vertical="center" wrapText="1"/>
      <protection locked="0" hidden="0"/>
    </xf>
    <xf numFmtId="0" fontId="5" fillId="0" borderId="40" applyAlignment="1" applyProtection="1" pivotButton="0" quotePrefix="0" xfId="0">
      <alignment horizontal="left" vertical="center" wrapText="1"/>
      <protection locked="0" hidden="0"/>
    </xf>
    <xf numFmtId="168" fontId="5" fillId="0" borderId="19" applyAlignment="1" applyProtection="1" pivotButton="0" quotePrefix="0" xfId="0">
      <alignment horizontal="center" vertical="center" wrapText="1"/>
      <protection locked="0" hidden="0"/>
    </xf>
    <xf numFmtId="0" fontId="5" fillId="0" borderId="32" applyAlignment="1" applyProtection="1" pivotButton="0" quotePrefix="0" xfId="0">
      <alignment horizontal="center" vertical="center" wrapText="1"/>
      <protection locked="0" hidden="0"/>
    </xf>
    <xf numFmtId="0" fontId="5" fillId="0" borderId="37" applyAlignment="1" applyProtection="1" pivotButton="0" quotePrefix="0" xfId="0">
      <alignment horizontal="left" vertical="center" wrapText="1"/>
      <protection locked="0" hidden="0"/>
    </xf>
    <xf numFmtId="168" fontId="5" fillId="0" borderId="57" applyAlignment="1" applyProtection="1" pivotButton="0" quotePrefix="0" xfId="0">
      <alignment horizontal="center" vertical="center" wrapText="1"/>
      <protection locked="0" hidden="0"/>
    </xf>
    <xf numFmtId="0" fontId="5" fillId="0" borderId="45" applyAlignment="1" applyProtection="1" pivotButton="0" quotePrefix="0" xfId="0">
      <alignment horizontal="center" vertical="center" wrapText="1"/>
      <protection locked="0" hidden="0"/>
    </xf>
    <xf numFmtId="164" fontId="16" fillId="0" borderId="38" applyAlignment="1" applyProtection="1" pivotButton="0" quotePrefix="0" xfId="0">
      <alignment horizontal="center" vertical="center" wrapText="1" readingOrder="1"/>
      <protection locked="0" hidden="0"/>
    </xf>
    <xf numFmtId="168" fontId="5" fillId="0" borderId="0" applyAlignment="1" applyProtection="1" pivotButton="0" quotePrefix="0" xfId="0">
      <alignment horizontal="center" vertical="center" wrapText="1"/>
      <protection locked="0" hidden="0"/>
    </xf>
    <xf numFmtId="0" fontId="5" fillId="0" borderId="64" applyAlignment="1" applyProtection="1" pivotButton="0" quotePrefix="0" xfId="0">
      <alignment horizontal="center" vertical="center" wrapText="1"/>
      <protection locked="0" hidden="0"/>
    </xf>
    <xf numFmtId="164" fontId="16" fillId="0" borderId="19" applyAlignment="1" applyProtection="1" pivotButton="0" quotePrefix="0" xfId="0">
      <alignment horizontal="center" vertical="center" wrapText="1" readingOrder="1"/>
      <protection locked="0" hidden="0"/>
    </xf>
    <xf numFmtId="164" fontId="16" fillId="0" borderId="57" applyAlignment="1" applyProtection="1" pivotButton="0" quotePrefix="0" xfId="0">
      <alignment horizontal="center" vertical="center" wrapText="1" readingOrder="1"/>
      <protection locked="0" hidden="0"/>
    </xf>
    <xf numFmtId="164" fontId="16" fillId="0" borderId="57" applyAlignment="1" pivotButton="0" quotePrefix="0" xfId="0">
      <alignment horizontal="center" vertical="center" wrapText="1" readingOrder="1"/>
    </xf>
    <xf numFmtId="0" fontId="5" fillId="0" borderId="57" applyAlignment="1" applyProtection="1" pivotButton="0" quotePrefix="0" xfId="0">
      <alignment horizontal="center" vertical="center" wrapText="1"/>
      <protection locked="0" hidden="0"/>
    </xf>
    <xf numFmtId="0" fontId="5" fillId="0" borderId="57" applyAlignment="1" applyProtection="1" pivotButton="0" quotePrefix="0" xfId="0">
      <alignment horizontal="left" vertical="center" wrapText="1"/>
      <protection locked="0" hidden="0"/>
    </xf>
    <xf numFmtId="0" fontId="18" fillId="3" borderId="10" applyAlignment="1" pivotButton="0" quotePrefix="0" xfId="0">
      <alignment horizontal="center"/>
    </xf>
    <xf numFmtId="0" fontId="18" fillId="3" borderId="11" applyAlignment="1" pivotButton="0" quotePrefix="0" xfId="0">
      <alignment horizontal="center"/>
    </xf>
    <xf numFmtId="164" fontId="16" fillId="0" borderId="74" applyAlignment="1" applyProtection="1" pivotButton="0" quotePrefix="0" xfId="0">
      <alignment horizontal="center" vertical="center" wrapText="1"/>
      <protection locked="0" hidden="0"/>
    </xf>
    <xf numFmtId="2" fontId="16" fillId="0" borderId="75" applyAlignment="1" applyProtection="1" pivotButton="0" quotePrefix="0" xfId="0">
      <alignment horizontal="center" vertical="center" wrapText="1"/>
      <protection locked="0" hidden="0"/>
    </xf>
    <xf numFmtId="2" fontId="16" fillId="0" borderId="76" applyAlignment="1" applyProtection="1" pivotButton="0" quotePrefix="0" xfId="0">
      <alignment horizontal="center" vertical="center" wrapText="1"/>
      <protection locked="0" hidden="0"/>
    </xf>
    <xf numFmtId="0" fontId="5" fillId="0" borderId="0" pivotButton="0" quotePrefix="0" xfId="0"/>
    <xf numFmtId="164" fontId="16" fillId="0" borderId="38" applyAlignment="1" applyProtection="1" pivotButton="0" quotePrefix="0" xfId="0">
      <alignment horizontal="center" vertical="center" wrapText="1"/>
      <protection locked="0" hidden="0"/>
    </xf>
    <xf numFmtId="2" fontId="16" fillId="0" borderId="77" applyAlignment="1" applyProtection="1" pivotButton="0" quotePrefix="0" xfId="0">
      <alignment horizontal="center" vertical="center" wrapText="1"/>
      <protection locked="0" hidden="0"/>
    </xf>
    <xf numFmtId="2" fontId="16" fillId="0" borderId="78" applyAlignment="1" applyProtection="1" pivotButton="0" quotePrefix="0" xfId="0">
      <alignment horizontal="center" vertical="center" wrapText="1"/>
      <protection locked="0" hidden="0"/>
    </xf>
    <xf numFmtId="164" fontId="16" fillId="0" borderId="79" applyAlignment="1" applyProtection="1" pivotButton="0" quotePrefix="0" xfId="0">
      <alignment horizontal="center" vertical="center" wrapText="1"/>
      <protection locked="0" hidden="0"/>
    </xf>
    <xf numFmtId="0" fontId="0" fillId="0" borderId="0" pivotButton="0" quotePrefix="0" xfId="0"/>
    <xf numFmtId="0" fontId="36" fillId="3" borderId="6" applyAlignment="1" pivotButton="0" quotePrefix="0" xfId="0">
      <alignment horizontal="center"/>
    </xf>
    <xf numFmtId="0" fontId="24" fillId="0" borderId="0" applyAlignment="1" applyProtection="1" pivotButton="0" quotePrefix="0" xfId="4">
      <alignment horizontal="left" vertical="top" wrapText="1"/>
      <protection locked="0" hidden="0"/>
    </xf>
    <xf numFmtId="0" fontId="24" fillId="0" borderId="0" applyAlignment="1" pivotButton="0" quotePrefix="0" xfId="4">
      <alignment horizontal="left" vertical="top" wrapText="1"/>
    </xf>
    <xf numFmtId="0" fontId="36" fillId="0" borderId="0" applyAlignment="1" pivotButton="0" quotePrefix="0" xfId="0">
      <alignment horizontal="left"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4">
      <alignment horizontal="left" vertical="top" wrapText="1"/>
    </xf>
    <xf numFmtId="0" fontId="36" fillId="3" borderId="5" applyAlignment="1" pivotButton="0" quotePrefix="0" xfId="0">
      <alignment horizontal="center" vertical="center" wrapText="1"/>
    </xf>
    <xf numFmtId="164" fontId="16" fillId="0" borderId="47" applyAlignment="1" applyProtection="1" pivotButton="0" quotePrefix="0" xfId="0">
      <alignment horizontal="left" vertical="center" wrapText="1"/>
      <protection locked="0" hidden="0"/>
    </xf>
    <xf numFmtId="164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48" applyAlignment="1" applyProtection="1" pivotButton="0" quotePrefix="0" xfId="0">
      <alignment horizontal="left" vertical="center" wrapText="1"/>
      <protection locked="0" hidden="0"/>
    </xf>
    <xf numFmtId="164" fontId="16" fillId="0" borderId="47" applyAlignment="1" applyProtection="1" pivotButton="0" quotePrefix="0" xfId="0">
      <alignment horizontal="center" vertical="center" wrapText="1"/>
      <protection locked="0" hidden="0"/>
    </xf>
    <xf numFmtId="164" fontId="16" fillId="0" borderId="80" applyAlignment="1" applyProtection="1" pivotButton="0" quotePrefix="0" xfId="0">
      <alignment horizontal="left" vertical="center" wrapText="1"/>
      <protection locked="0" hidden="0"/>
    </xf>
    <xf numFmtId="0" fontId="36" fillId="3" borderId="81" applyAlignment="1" pivotButton="0" quotePrefix="0" xfId="0">
      <alignment horizontal="center" vertical="center" wrapText="1"/>
    </xf>
    <xf numFmtId="0" fontId="36" fillId="3" borderId="82" applyAlignment="1" pivotButton="0" quotePrefix="0" xfId="0">
      <alignment horizontal="center" vertical="center" wrapText="1"/>
    </xf>
    <xf numFmtId="169" fontId="36" fillId="3" borderId="5" applyAlignment="1" pivotButton="0" quotePrefix="0" xfId="0">
      <alignment horizontal="center" vertical="center" wrapText="1"/>
    </xf>
    <xf numFmtId="0" fontId="19" fillId="0" borderId="0" applyAlignment="1" pivotButton="0" quotePrefix="0" xfId="0">
      <alignment horizontal="center"/>
    </xf>
    <xf numFmtId="0" fontId="19" fillId="0" borderId="85" applyAlignment="1" pivotButton="0" quotePrefix="0" xfId="0">
      <alignment horizontal="center"/>
    </xf>
    <xf numFmtId="0" fontId="0" fillId="0" borderId="85" applyAlignment="1" pivotButton="0" quotePrefix="0" xfId="4">
      <alignment horizontal="left" vertical="top" wrapText="1"/>
    </xf>
    <xf numFmtId="0" fontId="36" fillId="3" borderId="5" pivotButton="0" quotePrefix="0" xfId="0"/>
    <xf numFmtId="0" fontId="0" fillId="0" borderId="0" pivotButton="0" quotePrefix="1" xfId="0"/>
    <xf numFmtId="0" fontId="12" fillId="0" borderId="0" pivotButton="0" quotePrefix="0" xfId="0"/>
    <xf numFmtId="0" fontId="36" fillId="0" borderId="13" applyAlignment="1" pivotButton="0" quotePrefix="0" xfId="0">
      <alignment horizontal="left" vertical="center" wrapText="1"/>
    </xf>
    <xf numFmtId="0" fontId="0" fillId="0" borderId="13" applyAlignment="1" applyProtection="1" pivotButton="0" quotePrefix="0" xfId="0">
      <alignment horizontal="left" vertical="center" wrapText="1"/>
      <protection locked="0" hidden="0"/>
    </xf>
    <xf numFmtId="0" fontId="16" fillId="0" borderId="13" applyAlignment="1" applyProtection="1" pivotButton="0" quotePrefix="0" xfId="0">
      <alignment horizontal="left" vertical="center" wrapText="1"/>
      <protection locked="0" hidden="0"/>
    </xf>
    <xf numFmtId="0" fontId="36" fillId="3" borderId="92" pivotButton="0" quotePrefix="0" xfId="0"/>
    <xf numFmtId="0" fontId="36" fillId="3" borderId="3" pivotButton="0" quotePrefix="0" xfId="0"/>
    <xf numFmtId="0" fontId="36" fillId="3" borderId="3" applyAlignment="1" pivotButton="0" quotePrefix="0" xfId="0">
      <alignment horizontal="center"/>
    </xf>
    <xf numFmtId="0" fontId="36" fillId="3" borderId="98" applyAlignment="1" pivotButton="0" quotePrefix="0" xfId="0">
      <alignment horizontal="center"/>
    </xf>
    <xf numFmtId="0" fontId="36" fillId="3" borderId="7" applyAlignment="1" pivotButton="0" quotePrefix="0" xfId="0">
      <alignment horizontal="center"/>
    </xf>
    <xf numFmtId="0" fontId="16" fillId="0" borderId="100" applyAlignment="1" applyProtection="1" pivotButton="0" quotePrefix="0" xfId="0">
      <alignment horizontal="center" wrapText="1"/>
      <protection locked="0" hidden="0"/>
    </xf>
    <xf numFmtId="166" fontId="16" fillId="0" borderId="101" applyAlignment="1" applyProtection="1" pivotButton="0" quotePrefix="0" xfId="0">
      <alignment horizontal="center" wrapText="1"/>
      <protection locked="0" hidden="0"/>
    </xf>
    <xf numFmtId="166" fontId="16" fillId="0" borderId="75" applyAlignment="1" applyProtection="1" pivotButton="0" quotePrefix="0" xfId="0">
      <alignment horizontal="center" wrapText="1"/>
      <protection locked="0" hidden="0"/>
    </xf>
    <xf numFmtId="164" fontId="16" fillId="0" borderId="100" applyAlignment="1" applyProtection="1" pivotButton="0" quotePrefix="0" xfId="0">
      <alignment horizontal="center" wrapText="1"/>
      <protection locked="0" hidden="0"/>
    </xf>
    <xf numFmtId="0" fontId="16" fillId="0" borderId="17" applyAlignment="1" applyProtection="1" pivotButton="0" quotePrefix="0" xfId="0">
      <alignment horizontal="center" wrapText="1"/>
      <protection locked="0" hidden="0"/>
    </xf>
    <xf numFmtId="166" fontId="16" fillId="0" borderId="103" applyAlignment="1" applyProtection="1" pivotButton="0" quotePrefix="0" xfId="0">
      <alignment horizontal="center" wrapText="1"/>
      <protection locked="0" hidden="0"/>
    </xf>
    <xf numFmtId="166" fontId="16" fillId="0" borderId="39" applyAlignment="1" applyProtection="1" pivotButton="0" quotePrefix="0" xfId="0">
      <alignment horizontal="center" wrapText="1"/>
      <protection locked="0" hidden="0"/>
    </xf>
    <xf numFmtId="164" fontId="16" fillId="0" borderId="31" applyAlignment="1" applyProtection="1" pivotButton="0" quotePrefix="0" xfId="0">
      <alignment horizontal="center" wrapText="1"/>
      <protection locked="0" hidden="0"/>
    </xf>
    <xf numFmtId="0" fontId="16" fillId="0" borderId="30" applyAlignment="1" applyProtection="1" pivotButton="0" quotePrefix="0" xfId="0">
      <alignment horizontal="center" wrapText="1"/>
      <protection locked="0" hidden="0"/>
    </xf>
    <xf numFmtId="166" fontId="16" fillId="0" borderId="105" applyAlignment="1" applyProtection="1" pivotButton="0" quotePrefix="0" xfId="0">
      <alignment horizontal="center" wrapText="1"/>
      <protection locked="0" hidden="0"/>
    </xf>
    <xf numFmtId="166" fontId="16" fillId="0" borderId="32" applyAlignment="1" applyProtection="1" pivotButton="0" quotePrefix="0" xfId="0">
      <alignment horizontal="center" wrapText="1"/>
      <protection locked="0" hidden="0"/>
    </xf>
    <xf numFmtId="164" fontId="16" fillId="0" borderId="104" applyAlignment="1" applyProtection="1" pivotButton="0" quotePrefix="0" xfId="0">
      <alignment horizontal="center" wrapText="1"/>
      <protection locked="0" hidden="0"/>
    </xf>
    <xf numFmtId="0" fontId="16" fillId="0" borderId="107" applyAlignment="1" applyProtection="1" pivotButton="0" quotePrefix="0" xfId="0">
      <alignment horizontal="center" wrapText="1"/>
      <protection locked="0" hidden="0"/>
    </xf>
    <xf numFmtId="166" fontId="16" fillId="0" borderId="108" applyAlignment="1" applyProtection="1" pivotButton="0" quotePrefix="0" xfId="0">
      <alignment horizontal="center" wrapText="1"/>
      <protection locked="0" hidden="0"/>
    </xf>
    <xf numFmtId="166" fontId="16" fillId="0" borderId="109" applyAlignment="1" applyProtection="1" pivotButton="0" quotePrefix="0" xfId="0">
      <alignment horizontal="center" wrapText="1"/>
      <protection locked="0" hidden="0"/>
    </xf>
    <xf numFmtId="164" fontId="16" fillId="0" borderId="110" applyAlignment="1" applyProtection="1" pivotButton="0" quotePrefix="0" xfId="0">
      <alignment horizontal="center" wrapText="1"/>
      <protection locked="0" hidden="0"/>
    </xf>
    <xf numFmtId="0" fontId="0" fillId="0" borderId="113" pivotButton="0" quotePrefix="0" xfId="0"/>
    <xf numFmtId="0" fontId="16" fillId="0" borderId="90" applyAlignment="1" pivotButton="0" quotePrefix="0" xfId="0">
      <alignment horizontal="center"/>
    </xf>
    <xf numFmtId="0" fontId="36" fillId="3" borderId="10" applyAlignment="1" pivotButton="0" quotePrefix="0" xfId="0">
      <alignment horizontal="center"/>
    </xf>
    <xf numFmtId="0" fontId="36" fillId="3" borderId="5" applyAlignment="1" pivotButton="0" quotePrefix="0" xfId="0">
      <alignment horizontal="center" wrapText="1"/>
    </xf>
    <xf numFmtId="170" fontId="16" fillId="0" borderId="74" applyAlignment="1" applyProtection="1" pivotButton="0" quotePrefix="0" xfId="0">
      <alignment horizontal="center"/>
      <protection locked="0" hidden="0"/>
    </xf>
    <xf numFmtId="171" fontId="16" fillId="0" borderId="75" applyAlignment="1" applyProtection="1" pivotButton="0" quotePrefix="0" xfId="0">
      <alignment horizontal="center"/>
      <protection locked="0" hidden="0"/>
    </xf>
    <xf numFmtId="172" fontId="16" fillId="0" borderId="75" applyAlignment="1" pivotButton="0" quotePrefix="0" xfId="0">
      <alignment horizontal="center"/>
    </xf>
    <xf numFmtId="170" fontId="16" fillId="0" borderId="38" applyAlignment="1" applyProtection="1" pivotButton="0" quotePrefix="0" xfId="0">
      <alignment horizontal="center"/>
      <protection locked="0" hidden="0"/>
    </xf>
    <xf numFmtId="171" fontId="16" fillId="0" borderId="39" applyAlignment="1" applyProtection="1" pivotButton="0" quotePrefix="0" xfId="0">
      <alignment horizontal="center"/>
      <protection locked="0" hidden="0"/>
    </xf>
    <xf numFmtId="172" fontId="16" fillId="0" borderId="39" applyAlignment="1" pivotButton="0" quotePrefix="0" xfId="0">
      <alignment horizontal="center"/>
    </xf>
    <xf numFmtId="170" fontId="16" fillId="0" borderId="19" applyAlignment="1" applyProtection="1" pivotButton="0" quotePrefix="0" xfId="0">
      <alignment horizontal="center"/>
      <protection locked="0" hidden="0"/>
    </xf>
    <xf numFmtId="170" fontId="16" fillId="0" borderId="71" applyAlignment="1" applyProtection="1" pivotButton="0" quotePrefix="0" xfId="0">
      <alignment horizontal="center"/>
      <protection locked="0" hidden="0"/>
    </xf>
    <xf numFmtId="170" fontId="16" fillId="0" borderId="10" applyAlignment="1" applyProtection="1" pivotButton="0" quotePrefix="0" xfId="0">
      <alignment horizontal="center"/>
      <protection locked="0" hidden="0"/>
    </xf>
    <xf numFmtId="171" fontId="16" fillId="0" borderId="5" applyAlignment="1" applyProtection="1" pivotButton="0" quotePrefix="0" xfId="0">
      <alignment horizontal="center"/>
      <protection locked="0" hidden="0"/>
    </xf>
    <xf numFmtId="172" fontId="16" fillId="0" borderId="5" applyAlignment="1" pivotButton="0" quotePrefix="0" xfId="0">
      <alignment horizontal="center"/>
    </xf>
    <xf numFmtId="164" fontId="0" fillId="0" borderId="66" applyAlignment="1" applyProtection="1" pivotButton="0" quotePrefix="0" xfId="0">
      <alignment horizontal="center"/>
      <protection locked="0" hidden="0"/>
    </xf>
    <xf numFmtId="164" fontId="0" fillId="0" borderId="64" applyAlignment="1" applyProtection="1" pivotButton="0" quotePrefix="0" xfId="0">
      <alignment horizontal="center"/>
      <protection locked="0" hidden="0"/>
    </xf>
    <xf numFmtId="164" fontId="0" fillId="0" borderId="70" applyAlignment="1" applyProtection="1" pivotButton="0" quotePrefix="0" xfId="0">
      <alignment horizontal="center"/>
      <protection locked="0" hidden="0"/>
    </xf>
    <xf numFmtId="164" fontId="16" fillId="0" borderId="45" applyAlignment="1" applyProtection="1" pivotButton="0" quotePrefix="0" xfId="0">
      <alignment horizontal="center" vertical="center" wrapText="1"/>
      <protection locked="0" hidden="0"/>
    </xf>
    <xf numFmtId="164" fontId="0" fillId="0" borderId="66" applyAlignment="1" applyProtection="1" pivotButton="0" quotePrefix="0" xfId="0">
      <alignment horizontal="center"/>
      <protection locked="0" hidden="0"/>
    </xf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164" fontId="16" fillId="0" borderId="66" applyAlignment="1" applyProtection="1" pivotButton="0" quotePrefix="0" xfId="0">
      <alignment horizontal="center"/>
      <protection locked="0" hidden="0"/>
    </xf>
    <xf numFmtId="0" fontId="16" fillId="0" borderId="38" applyAlignment="1" pivotButton="0" quotePrefix="0" xfId="0">
      <alignment horizontal="left" vertical="center" wrapText="1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164" fontId="16" fillId="0" borderId="70" applyAlignment="1" applyProtection="1" pivotButton="0" quotePrefix="0" xfId="0">
      <alignment horizontal="center" vertical="center" wrapText="1"/>
      <protection locked="0" hidden="0"/>
    </xf>
    <xf numFmtId="164" fontId="16" fillId="0" borderId="66" applyAlignment="1" applyProtection="1" pivotButton="0" quotePrefix="0" xfId="0">
      <alignment horizontal="center" vertical="center" wrapText="1"/>
      <protection locked="0" hidden="0"/>
    </xf>
    <xf numFmtId="164" fontId="16" fillId="0" borderId="0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164" fontId="0" fillId="0" borderId="68" applyAlignment="1" applyProtection="1" pivotButton="0" quotePrefix="0" xfId="0">
      <alignment horizontal="center" vertical="center" wrapText="1"/>
      <protection locked="0" hidden="0"/>
    </xf>
    <xf numFmtId="164" fontId="0" fillId="0" borderId="45" applyAlignment="1" applyProtection="1" pivotButton="0" quotePrefix="0" xfId="0">
      <alignment horizontal="center" vertical="center" wrapText="1"/>
      <protection locked="0" hidden="0"/>
    </xf>
    <xf numFmtId="164" fontId="0" fillId="0" borderId="69" applyAlignment="1" applyProtection="1" pivotButton="0" quotePrefix="0" xfId="0">
      <alignment horizontal="center" vertical="center" wrapText="1"/>
      <protection locked="0" hidden="0"/>
    </xf>
    <xf numFmtId="164" fontId="0" fillId="0" borderId="0" applyAlignment="1" pivotButton="0" quotePrefix="0" xfId="0">
      <alignment horizontal="center"/>
    </xf>
    <xf numFmtId="164" fontId="0" fillId="0" borderId="13" applyAlignment="1" pivotButton="0" quotePrefix="0" xfId="0">
      <alignment horizontal="center"/>
    </xf>
    <xf numFmtId="164" fontId="0" fillId="0" borderId="64" applyAlignment="1" applyProtection="1" pivotButton="0" quotePrefix="0" xfId="0">
      <alignment horizontal="center"/>
      <protection locked="0" hidden="0"/>
    </xf>
    <xf numFmtId="1" fontId="16" fillId="0" borderId="39" applyAlignment="1" applyProtection="1" pivotButton="0" quotePrefix="0" xfId="0">
      <alignment horizontal="center" vertical="center" wrapText="1"/>
      <protection locked="0" hidden="0"/>
    </xf>
    <xf numFmtId="49" fontId="16" fillId="0" borderId="39" applyAlignment="1" applyProtection="1" pivotButton="0" quotePrefix="0" xfId="0">
      <alignment horizontal="center" vertical="center" wrapText="1"/>
      <protection locked="0" hidden="0"/>
    </xf>
    <xf numFmtId="0" fontId="18" fillId="0" borderId="5" applyAlignment="1" applyProtection="1" pivotButton="0" quotePrefix="0" xfId="0">
      <alignment horizontal="center" vertical="center" wrapText="1"/>
      <protection locked="0" hidden="0"/>
    </xf>
    <xf numFmtId="0" fontId="18" fillId="0" borderId="11" applyAlignment="1" applyProtection="1" pivotButton="0" quotePrefix="0" xfId="0">
      <alignment horizontal="center" vertical="center" wrapText="1"/>
      <protection locked="0" hidden="0"/>
    </xf>
    <xf numFmtId="2" fontId="20" fillId="0" borderId="7" applyAlignment="1" pivotButton="0" quotePrefix="0" xfId="0">
      <alignment horizontal="center" vertical="center"/>
    </xf>
    <xf numFmtId="2" fontId="20" fillId="0" borderId="9" applyAlignment="1" pivotButton="0" quotePrefix="0" xfId="0">
      <alignment horizontal="center" vertical="center"/>
    </xf>
    <xf numFmtId="49" fontId="20" fillId="0" borderId="7" applyAlignment="1" pivotButton="0" quotePrefix="0" xfId="0">
      <alignment horizontal="center" vertical="center"/>
    </xf>
    <xf numFmtId="49" fontId="20" fillId="0" borderId="9" applyAlignment="1" pivotButton="0" quotePrefix="0" xfId="0">
      <alignment horizontal="center" vertical="center"/>
    </xf>
    <xf numFmtId="49" fontId="20" fillId="0" borderId="6" applyAlignment="1" pivotButton="0" quotePrefix="0" xfId="0">
      <alignment vertical="center" wrapText="1"/>
    </xf>
    <xf numFmtId="0" fontId="32" fillId="3" borderId="114" applyAlignment="1" pivotButton="0" quotePrefix="0" xfId="0">
      <alignment horizontal="center"/>
    </xf>
    <xf numFmtId="0" fontId="32" fillId="3" borderId="0" applyAlignment="1" pivotButton="0" quotePrefix="0" xfId="0">
      <alignment horizontal="center"/>
    </xf>
    <xf numFmtId="0" fontId="32" fillId="3" borderId="17" applyAlignment="1" pivotButton="0" quotePrefix="0" xfId="0">
      <alignment horizontal="center"/>
    </xf>
    <xf numFmtId="0" fontId="32" fillId="3" borderId="13" applyAlignment="1" pivotButton="0" quotePrefix="0" xfId="0">
      <alignment horizontal="center"/>
    </xf>
    <xf numFmtId="2" fontId="16" fillId="0" borderId="45" applyAlignment="1" applyProtection="1" pivotButton="0" quotePrefix="0" xfId="0">
      <alignment horizontal="center" vertical="center" wrapText="1"/>
      <protection locked="0" hidden="0"/>
    </xf>
    <xf numFmtId="2" fontId="0" fillId="0" borderId="66" applyAlignment="1" applyProtection="1" pivotButton="0" quotePrefix="0" xfId="0">
      <alignment horizontal="center"/>
      <protection locked="0" hidden="0"/>
    </xf>
    <xf numFmtId="2" fontId="16" fillId="0" borderId="45" applyAlignment="1" applyProtection="1" pivotButton="0" quotePrefix="0" xfId="0">
      <alignment horizontal="center" vertical="center" wrapText="1"/>
      <protection locked="0" hidden="0"/>
    </xf>
    <xf numFmtId="2" fontId="0" fillId="0" borderId="66" applyAlignment="1" applyProtection="1" pivotButton="0" quotePrefix="0" xfId="0">
      <alignment horizontal="center"/>
      <protection locked="0" hidden="0"/>
    </xf>
    <xf numFmtId="2" fontId="16" fillId="0" borderId="68" applyAlignment="1" applyProtection="1" pivotButton="0" quotePrefix="0" xfId="0">
      <alignment horizontal="center" vertical="center" wrapText="1"/>
      <protection locked="0" hidden="0"/>
    </xf>
    <xf numFmtId="2" fontId="16" fillId="0" borderId="69" applyAlignment="1" applyProtection="1" pivotButton="0" quotePrefix="0" xfId="0">
      <alignment horizontal="center" vertical="center" wrapText="1"/>
      <protection locked="0" hidden="0"/>
    </xf>
    <xf numFmtId="2" fontId="0" fillId="0" borderId="70" applyAlignment="1" applyProtection="1" pivotButton="0" quotePrefix="0" xfId="0">
      <alignment horizontal="center"/>
      <protection locked="0" hidden="0"/>
    </xf>
    <xf numFmtId="2" fontId="16" fillId="0" borderId="60" applyAlignment="1" applyProtection="1" pivotButton="0" quotePrefix="0" xfId="0">
      <alignment horizontal="center" vertical="center" wrapText="1"/>
      <protection locked="0" hidden="0"/>
    </xf>
    <xf numFmtId="2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34" applyAlignment="1" applyProtection="1" pivotButton="0" quotePrefix="0" xfId="0">
      <alignment horizontal="center" vertical="center" wrapText="1"/>
      <protection locked="0" hidden="0"/>
    </xf>
    <xf numFmtId="2" fontId="16" fillId="0" borderId="33" applyAlignment="1" applyProtection="1" pivotButton="0" quotePrefix="0" xfId="0">
      <alignment horizontal="center" vertical="center" wrapText="1"/>
      <protection locked="0" hidden="0"/>
    </xf>
    <xf numFmtId="2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0" applyAlignment="1" applyProtection="1" pivotButton="0" quotePrefix="0" xfId="0">
      <alignment horizontal="center" vertical="center" wrapText="1"/>
      <protection locked="0" hidden="0"/>
    </xf>
    <xf numFmtId="2" fontId="16" fillId="0" borderId="13" applyAlignment="1" applyProtection="1" pivotButton="0" quotePrefix="0" xfId="0">
      <alignment horizontal="center" vertical="center" wrapText="1"/>
      <protection locked="0" hidden="0"/>
    </xf>
    <xf numFmtId="2" fontId="20" fillId="3" borderId="5" applyAlignment="1" pivotButton="0" quotePrefix="0" xfId="0">
      <alignment horizontal="center" vertical="center"/>
    </xf>
    <xf numFmtId="2" fontId="16" fillId="0" borderId="72" applyAlignment="1" applyProtection="1" pivotButton="0" quotePrefix="0" xfId="0">
      <alignment horizontal="center" vertical="center" wrapText="1"/>
      <protection locked="0" hidden="0"/>
    </xf>
    <xf numFmtId="49" fontId="16" fillId="0" borderId="124" applyAlignment="1" applyProtection="1" pivotButton="0" quotePrefix="0" xfId="0">
      <alignment horizontal="center" vertical="center" wrapText="1"/>
      <protection locked="0" hidden="0"/>
    </xf>
    <xf numFmtId="0" fontId="52" fillId="0" borderId="0" pivotButton="0" quotePrefix="0" xfId="0"/>
    <xf numFmtId="0" fontId="25" fillId="0" borderId="0" pivotButton="0" quotePrefix="0" xfId="0"/>
    <xf numFmtId="0" fontId="58" fillId="0" borderId="0" pivotButton="0" quotePrefix="0" xfId="0"/>
    <xf numFmtId="0" fontId="18" fillId="4" borderId="3" applyAlignment="1" pivotButton="0" quotePrefix="0" xfId="0">
      <alignment horizontal="left" vertical="center"/>
    </xf>
    <xf numFmtId="0" fontId="0" fillId="0" borderId="2" applyAlignment="1" applyProtection="1" pivotButton="0" quotePrefix="0" xfId="0">
      <alignment horizontal="left" vertical="top" wrapText="1"/>
      <protection locked="0" hidden="0"/>
    </xf>
    <xf numFmtId="0" fontId="14" fillId="0" borderId="4" applyAlignment="1" pivotButton="0" quotePrefix="0" xfId="0">
      <alignment vertical="top" wrapText="1"/>
    </xf>
    <xf numFmtId="0" fontId="21" fillId="0" borderId="16" applyAlignment="1" pivotButton="0" quotePrefix="0" xfId="0">
      <alignment horizontal="center"/>
    </xf>
    <xf numFmtId="0" fontId="18" fillId="3" borderId="3" applyAlignment="1" pivotButton="0" quotePrefix="0" xfId="0">
      <alignment horizontal="left" vertical="center"/>
    </xf>
    <xf numFmtId="173" fontId="0" fillId="0" borderId="4" applyAlignment="1" applyProtection="1" pivotButton="0" quotePrefix="0" xfId="0">
      <alignment horizontal="left" vertical="top" wrapText="1"/>
      <protection locked="0" hidden="0"/>
    </xf>
    <xf numFmtId="173" fontId="0" fillId="0" borderId="4" applyAlignment="1" applyProtection="1" pivotButton="0" quotePrefix="0" xfId="0">
      <alignment horizontal="left" vertical="top" wrapText="1"/>
      <protection locked="0" hidden="0"/>
    </xf>
    <xf numFmtId="0" fontId="0" fillId="0" borderId="2" applyAlignment="1" applyProtection="1" pivotButton="0" quotePrefix="0" xfId="0">
      <alignment horizontal="left" wrapText="1"/>
      <protection locked="0" hidden="0"/>
    </xf>
    <xf numFmtId="174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18" fillId="4" borderId="28" applyAlignment="1" pivotButton="0" quotePrefix="0" xfId="0">
      <alignment horizontal="left" vertical="center"/>
    </xf>
    <xf numFmtId="0" fontId="19" fillId="0" borderId="0" applyAlignment="1" pivotButton="0" quotePrefix="0" xfId="0">
      <alignment horizontal="left"/>
    </xf>
    <xf numFmtId="0" fontId="18" fillId="3" borderId="3" applyAlignment="1" pivotButton="0" quotePrefix="0" xfId="0">
      <alignment horizontal="left" vertical="center"/>
    </xf>
    <xf numFmtId="0" fontId="0" fillId="0" borderId="2" applyAlignment="1" applyProtection="1" pivotButton="0" quotePrefix="0" xfId="0">
      <alignment horizontal="left" vertical="top" wrapText="1"/>
      <protection locked="0" hidden="0"/>
    </xf>
    <xf numFmtId="0" fontId="0" fillId="0" borderId="12" applyAlignment="1" applyProtection="1" pivotButton="0" quotePrefix="0" xfId="0">
      <alignment horizontal="left" vertical="top" wrapText="1"/>
      <protection locked="0" hidden="0"/>
    </xf>
    <xf numFmtId="0" fontId="12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0" borderId="12" applyAlignment="1" applyProtection="1" pivotButton="0" quotePrefix="0" xfId="0">
      <alignment horizontal="left" vertical="top"/>
      <protection locked="0" hidden="0"/>
    </xf>
    <xf numFmtId="0" fontId="0" fillId="0" borderId="0" applyAlignment="1" applyProtection="1" pivotButton="0" quotePrefix="0" xfId="0">
      <alignment horizontal="left" vertical="top"/>
      <protection locked="0" hidden="0"/>
    </xf>
    <xf numFmtId="0" fontId="0" fillId="0" borderId="2" applyAlignment="1" applyProtection="1" pivotButton="0" quotePrefix="0" xfId="0">
      <alignment horizontal="left" vertical="top"/>
      <protection locked="0" hidden="0"/>
    </xf>
    <xf numFmtId="49" fontId="0" fillId="0" borderId="0" applyAlignment="1" applyProtection="1" pivotButton="0" quotePrefix="1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center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175" fontId="0" fillId="0" borderId="12" applyAlignment="1" applyProtection="1" pivotButton="0" quotePrefix="0" xfId="0">
      <alignment horizontal="left" vertical="top" wrapText="1"/>
      <protection locked="0" hidden="0"/>
    </xf>
    <xf numFmtId="175" fontId="0" fillId="0" borderId="0" applyAlignment="1" applyProtection="1" pivotButton="0" quotePrefix="0" xfId="0">
      <alignment horizontal="left" vertical="top" wrapText="1"/>
      <protection locked="0" hidden="0"/>
    </xf>
    <xf numFmtId="0" fontId="0" fillId="7" borderId="0" applyAlignment="1" applyProtection="1" pivotButton="0" quotePrefix="0" xfId="0">
      <alignment horizontal="left" vertical="top" wrapText="1"/>
      <protection locked="0" hidden="0"/>
    </xf>
    <xf numFmtId="0" fontId="18" fillId="3" borderId="13" applyAlignment="1" pivotButton="0" quotePrefix="0" xfId="0">
      <alignment horizontal="center" wrapText="1"/>
    </xf>
    <xf numFmtId="0" fontId="18" fillId="3" borderId="27" applyAlignment="1" pivotButton="0" quotePrefix="0" xfId="0">
      <alignment horizontal="center" wrapText="1"/>
    </xf>
    <xf numFmtId="0" fontId="13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center" vertical="center" wrapText="1"/>
    </xf>
    <xf numFmtId="2" fontId="5" fillId="0" borderId="0" applyAlignment="1" pivotButton="0" quotePrefix="0" xfId="0">
      <alignment horizontal="center"/>
    </xf>
    <xf numFmtId="0" fontId="18" fillId="3" borderId="17" applyAlignment="1" pivotButton="0" quotePrefix="0" xfId="0">
      <alignment vertical="center" wrapText="1"/>
    </xf>
    <xf numFmtId="0" fontId="18" fillId="3" borderId="23" applyAlignment="1" pivotButton="0" quotePrefix="0" xfId="0">
      <alignment vertical="center" wrapText="1"/>
    </xf>
    <xf numFmtId="0" fontId="18" fillId="3" borderId="22" applyAlignment="1" pivotButton="0" quotePrefix="0" xfId="0">
      <alignment horizontal="center"/>
    </xf>
    <xf numFmtId="0" fontId="18" fillId="3" borderId="3" applyAlignment="1" pivotButton="0" quotePrefix="0" xfId="0">
      <alignment horizontal="center"/>
    </xf>
    <xf numFmtId="0" fontId="18" fillId="3" borderId="21" applyAlignment="1" pivotButton="0" quotePrefix="0" xfId="0">
      <alignment horizontal="center"/>
    </xf>
    <xf numFmtId="173" fontId="5" fillId="0" borderId="0" applyAlignment="1" pivotButton="0" quotePrefix="0" xfId="0">
      <alignment horizontal="left"/>
    </xf>
    <xf numFmtId="173" fontId="5" fillId="0" borderId="0" applyAlignment="1" pivotButton="0" quotePrefix="0" xfId="0">
      <alignment horizontal="left"/>
    </xf>
    <xf numFmtId="0" fontId="14" fillId="0" borderId="0" applyAlignment="1" pivotButton="0" quotePrefix="0" xfId="0">
      <alignment horizontal="left" vertical="center" wrapText="1"/>
    </xf>
    <xf numFmtId="0" fontId="20" fillId="0" borderId="18" applyAlignment="1" pivotButton="0" quotePrefix="0" xfId="0">
      <alignment horizontal="center" vertical="center"/>
    </xf>
    <xf numFmtId="0" fontId="20" fillId="0" borderId="19" applyAlignment="1" pivotButton="0" quotePrefix="0" xfId="0">
      <alignment horizontal="center" vertical="center"/>
    </xf>
    <xf numFmtId="0" fontId="20" fillId="0" borderId="10" applyAlignment="1" pivotButton="0" quotePrefix="0" xfId="0">
      <alignment horizontal="center" vertical="center"/>
    </xf>
    <xf numFmtId="0" fontId="16" fillId="0" borderId="43" applyAlignment="1" applyProtection="1" pivotButton="0" quotePrefix="0" xfId="0">
      <alignment horizontal="center" vertical="center" wrapText="1"/>
      <protection locked="0" hidden="0"/>
    </xf>
    <xf numFmtId="0" fontId="16" fillId="0" borderId="29" applyAlignment="1" applyProtection="1" pivotButton="0" quotePrefix="0" xfId="0">
      <alignment horizontal="center" vertical="center" wrapText="1"/>
      <protection locked="0" hidden="0"/>
    </xf>
    <xf numFmtId="0" fontId="16" fillId="0" borderId="47" applyAlignment="1" applyProtection="1" pivotButton="0" quotePrefix="0" xfId="0">
      <alignment horizontal="center" vertical="center" wrapText="1"/>
      <protection locked="0" hidden="0"/>
    </xf>
    <xf numFmtId="0" fontId="16" fillId="0" borderId="44" applyAlignment="1" applyProtection="1" pivotButton="0" quotePrefix="0" xfId="0">
      <alignment horizontal="center" vertical="center" wrapText="1"/>
      <protection locked="0" hidden="0"/>
    </xf>
    <xf numFmtId="0" fontId="16" fillId="0" borderId="42" applyAlignment="1" applyProtection="1" pivotButton="0" quotePrefix="0" xfId="0">
      <alignment horizontal="center" vertical="center" wrapText="1"/>
      <protection locked="0" hidden="0"/>
    </xf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19" fillId="0" borderId="0" applyAlignment="1" applyProtection="1" pivotButton="0" quotePrefix="0" xfId="0">
      <alignment horizontal="left"/>
      <protection locked="0" hidden="0"/>
    </xf>
    <xf numFmtId="0" fontId="18" fillId="3" borderId="6" applyAlignment="1" pivotButton="0" quotePrefix="0" xfId="0">
      <alignment horizontal="center" vertical="center"/>
    </xf>
    <xf numFmtId="0" fontId="18" fillId="3" borderId="6" applyAlignment="1" pivotButton="0" quotePrefix="0" xfId="0">
      <alignment horizontal="center"/>
    </xf>
    <xf numFmtId="0" fontId="18" fillId="3" borderId="8" applyAlignment="1" pivotButton="0" quotePrefix="0" xfId="0">
      <alignment horizontal="center"/>
    </xf>
    <xf numFmtId="0" fontId="18" fillId="3" borderId="9" applyAlignment="1" pivotButton="0" quotePrefix="0" xfId="0">
      <alignment horizontal="center"/>
    </xf>
    <xf numFmtId="0" fontId="18" fillId="3" borderId="15" applyAlignment="1" pivotButton="0" quotePrefix="0" xfId="0">
      <alignment horizontal="center"/>
    </xf>
    <xf numFmtId="0" fontId="18" fillId="3" borderId="12" applyAlignment="1" pivotButton="0" quotePrefix="0" xfId="0">
      <alignment horizontal="center"/>
    </xf>
    <xf numFmtId="0" fontId="18" fillId="3" borderId="18" applyAlignment="1" pivotButton="0" quotePrefix="0" xfId="0">
      <alignment horizontal="center"/>
    </xf>
    <xf numFmtId="0" fontId="18" fillId="3" borderId="15" applyAlignment="1" pivotButton="0" quotePrefix="0" xfId="0">
      <alignment horizontal="center" wrapText="1"/>
    </xf>
    <xf numFmtId="0" fontId="18" fillId="3" borderId="12" applyAlignment="1" pivotButton="0" quotePrefix="0" xfId="0">
      <alignment horizontal="center" wrapText="1"/>
    </xf>
    <xf numFmtId="0" fontId="18" fillId="3" borderId="41" applyAlignment="1" pivotButton="0" quotePrefix="0" xfId="0">
      <alignment horizontal="center"/>
    </xf>
    <xf numFmtId="0" fontId="18" fillId="3" borderId="0" applyAlignment="1" pivotButton="0" quotePrefix="0" xfId="0">
      <alignment horizontal="center"/>
    </xf>
    <xf numFmtId="0" fontId="18" fillId="3" borderId="46" applyAlignment="1" pivotButton="0" quotePrefix="0" xfId="0">
      <alignment horizontal="center"/>
    </xf>
    <xf numFmtId="0" fontId="32" fillId="3" borderId="3" applyAlignment="1" pivotButton="0" quotePrefix="0" xfId="0">
      <alignment horizontal="center" vertical="center"/>
    </xf>
    <xf numFmtId="0" fontId="32" fillId="3" borderId="6" applyAlignment="1" pivotButton="0" quotePrefix="0" xfId="0">
      <alignment horizontal="center"/>
    </xf>
    <xf numFmtId="0" fontId="32" fillId="3" borderId="61" applyAlignment="1" pivotButton="0" quotePrefix="0" xfId="0">
      <alignment horizontal="center"/>
    </xf>
    <xf numFmtId="0" fontId="32" fillId="3" borderId="62" applyAlignment="1" pivotButton="0" quotePrefix="0" xfId="0">
      <alignment horizontal="center"/>
    </xf>
    <xf numFmtId="0" fontId="16" fillId="0" borderId="29" applyAlignment="1" applyProtection="1" pivotButton="0" quotePrefix="0" xfId="0">
      <alignment horizontal="left" vertical="center" wrapText="1"/>
      <protection locked="0" hidden="0"/>
    </xf>
    <xf numFmtId="0" fontId="16" fillId="0" borderId="0" applyProtection="1" pivotButton="0" quotePrefix="0" xfId="0">
      <protection locked="0" hidden="0"/>
    </xf>
    <xf numFmtId="0" fontId="18" fillId="3" borderId="12" applyAlignment="1" pivotButton="0" quotePrefix="0" xfId="0">
      <alignment horizontal="center" vertical="center"/>
    </xf>
    <xf numFmtId="0" fontId="16" fillId="0" borderId="0" applyAlignment="1" applyProtection="1" pivotButton="0" quotePrefix="0" xfId="0">
      <alignment horizontal="left" vertical="center" wrapText="1"/>
      <protection locked="0" hidden="0"/>
    </xf>
    <xf numFmtId="0" fontId="16" fillId="0" borderId="60" applyAlignment="1" applyProtection="1" pivotButton="0" quotePrefix="0" xfId="0">
      <alignment horizontal="left" vertical="center" wrapText="1"/>
      <protection locked="0" hidden="0"/>
    </xf>
    <xf numFmtId="0" fontId="0" fillId="0" borderId="6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6" fillId="0" borderId="44" applyAlignment="1" applyProtection="1" pivotButton="0" quotePrefix="0" xfId="0">
      <alignment horizontal="left" vertical="center" wrapText="1"/>
      <protection locked="0" hidden="0"/>
    </xf>
    <xf numFmtId="0" fontId="16" fillId="0" borderId="42" applyAlignment="1" applyProtection="1" pivotButton="0" quotePrefix="0" xfId="0">
      <alignment horizontal="left" vertical="center" wrapText="1"/>
      <protection locked="0" hidden="0"/>
    </xf>
    <xf numFmtId="0" fontId="16" fillId="0" borderId="56" applyAlignment="1" applyProtection="1" pivotButton="0" quotePrefix="0" xfId="0">
      <alignment horizontal="center" vertical="center" wrapText="1"/>
      <protection locked="0" hidden="0"/>
    </xf>
    <xf numFmtId="0" fontId="16" fillId="0" borderId="57" applyAlignment="1" applyProtection="1" pivotButton="0" quotePrefix="0" xfId="0">
      <alignment horizontal="center" vertical="center" wrapText="1"/>
      <protection locked="0" hidden="0"/>
    </xf>
    <xf numFmtId="0" fontId="16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57" applyAlignment="1" applyProtection="1" pivotButton="0" quotePrefix="0" xfId="0">
      <alignment horizontal="center" vertical="center" wrapText="1"/>
      <protection locked="0" hidden="0"/>
    </xf>
    <xf numFmtId="0" fontId="0" fillId="0" borderId="48" applyAlignment="1" applyProtection="1" pivotButton="0" quotePrefix="0" xfId="0">
      <alignment horizontal="center" vertical="center" wrapText="1"/>
      <protection locked="0" hidden="0"/>
    </xf>
    <xf numFmtId="0" fontId="16" fillId="0" borderId="56" applyAlignment="1" applyProtection="1" pivotButton="0" quotePrefix="0" xfId="0">
      <alignment horizontal="left" vertical="center" wrapText="1"/>
      <protection locked="0" hidden="0"/>
    </xf>
    <xf numFmtId="0" fontId="16" fillId="0" borderId="57" applyAlignment="1" applyProtection="1" pivotButton="0" quotePrefix="0" xfId="0">
      <alignment horizontal="left" vertical="center" wrapText="1"/>
      <protection locked="0" hidden="0"/>
    </xf>
    <xf numFmtId="0" fontId="9" fillId="0" borderId="43" applyAlignment="1" applyProtection="1" pivotButton="0" quotePrefix="0" xfId="0">
      <alignment horizontal="center" vertical="center" wrapText="1"/>
      <protection locked="0" hidden="0"/>
    </xf>
    <xf numFmtId="0" fontId="9" fillId="0" borderId="29" applyAlignment="1" applyProtection="1" pivotButton="0" quotePrefix="0" xfId="0">
      <alignment horizontal="center" vertical="center" wrapText="1"/>
      <protection locked="0" hidden="0"/>
    </xf>
    <xf numFmtId="0" fontId="9" fillId="0" borderId="47" applyAlignment="1" applyProtection="1" pivotButton="0" quotePrefix="0" xfId="0">
      <alignment horizontal="center" vertical="center" wrapText="1"/>
      <protection locked="0" hidden="0"/>
    </xf>
    <xf numFmtId="0" fontId="0" fillId="6" borderId="0" applyAlignment="1" pivotButton="0" quotePrefix="0" xfId="0">
      <alignment horizontal="center" vertical="center" wrapText="1"/>
    </xf>
    <xf numFmtId="0" fontId="9" fillId="0" borderId="56" applyAlignment="1" applyProtection="1" pivotButton="0" quotePrefix="0" xfId="0">
      <alignment horizontal="center" vertical="center" wrapText="1"/>
      <protection locked="0" hidden="0"/>
    </xf>
    <xf numFmtId="0" fontId="9" fillId="0" borderId="57" applyAlignment="1" applyProtection="1" pivotButton="0" quotePrefix="0" xfId="0">
      <alignment horizontal="center" vertical="center" wrapText="1"/>
      <protection locked="0" hidden="0"/>
    </xf>
    <xf numFmtId="0" fontId="9" fillId="0" borderId="48" applyAlignment="1" applyProtection="1" pivotButton="0" quotePrefix="0" xfId="0">
      <alignment horizontal="center" vertical="center" wrapText="1"/>
      <protection locked="0" hidden="0"/>
    </xf>
    <xf numFmtId="0" fontId="9" fillId="0" borderId="56" applyAlignment="1" applyProtection="1" pivotButton="0" quotePrefix="0" xfId="0">
      <alignment horizontal="center" vertical="center" shrinkToFit="1"/>
      <protection locked="0" hidden="0"/>
    </xf>
    <xf numFmtId="0" fontId="9" fillId="0" borderId="57" applyAlignment="1" applyProtection="1" pivotButton="0" quotePrefix="0" xfId="0">
      <alignment horizontal="center" vertical="center" shrinkToFit="1"/>
      <protection locked="0" hidden="0"/>
    </xf>
    <xf numFmtId="0" fontId="9" fillId="0" borderId="48" applyAlignment="1" applyProtection="1" pivotButton="0" quotePrefix="0" xfId="0">
      <alignment horizontal="center" vertical="center" shrinkToFit="1"/>
      <protection locked="0" hidden="0"/>
    </xf>
    <xf numFmtId="168" fontId="4" fillId="0" borderId="0" applyAlignment="1" applyProtection="1" pivotButton="0" quotePrefix="0" xfId="0">
      <alignment horizontal="center"/>
      <protection locked="0" hidden="0"/>
    </xf>
    <xf numFmtId="168" fontId="18" fillId="3" borderId="10" applyAlignment="1" pivotButton="0" quotePrefix="0" xfId="0">
      <alignment horizontal="center" wrapText="1"/>
    </xf>
    <xf numFmtId="168" fontId="18" fillId="3" borderId="8" applyAlignment="1" pivotButton="0" quotePrefix="0" xfId="0">
      <alignment horizontal="center" wrapText="1"/>
    </xf>
    <xf numFmtId="0" fontId="18" fillId="3" borderId="5" applyAlignment="1" pivotButton="0" quotePrefix="0" xfId="0">
      <alignment horizontal="center" wrapText="1"/>
    </xf>
    <xf numFmtId="0" fontId="18" fillId="3" borderId="7" applyAlignment="1" pivotButton="0" quotePrefix="0" xfId="0">
      <alignment horizontal="center" wrapText="1"/>
    </xf>
    <xf numFmtId="0" fontId="18" fillId="3" borderId="11" applyAlignment="1" pivotButton="0" quotePrefix="0" xfId="0">
      <alignment wrapText="1"/>
    </xf>
    <xf numFmtId="0" fontId="18" fillId="3" borderId="9" applyAlignment="1" pivotButton="0" quotePrefix="0" xfId="0">
      <alignment wrapText="1"/>
    </xf>
    <xf numFmtId="168" fontId="19" fillId="0" borderId="0" applyAlignment="1" applyProtection="1" pivotButton="0" quotePrefix="0" xfId="0">
      <alignment horizontal="left"/>
      <protection locked="0" hidden="0"/>
    </xf>
    <xf numFmtId="0" fontId="4" fillId="0" borderId="0" applyAlignment="1" pivotButton="0" quotePrefix="0" xfId="0">
      <alignment horizontal="center"/>
    </xf>
    <xf numFmtId="0" fontId="18" fillId="3" borderId="20" applyAlignment="1" pivotButton="0" quotePrefix="0" xfId="0">
      <alignment horizontal="center" vertical="center"/>
    </xf>
    <xf numFmtId="0" fontId="18" fillId="3" borderId="90" applyAlignment="1" pivotButton="0" quotePrefix="0" xfId="0">
      <alignment horizontal="center" vertical="center"/>
    </xf>
    <xf numFmtId="0" fontId="18" fillId="3" borderId="91" applyAlignment="1" pivotButton="0" quotePrefix="0" xfId="0">
      <alignment horizontal="center" vertical="center"/>
    </xf>
    <xf numFmtId="176" fontId="16" fillId="0" borderId="0" applyAlignment="1" applyProtection="1" pivotButton="0" quotePrefix="0" xfId="0">
      <alignment horizontal="left" vertical="center" wrapText="1"/>
      <protection locked="0" hidden="0"/>
    </xf>
    <xf numFmtId="176" fontId="16" fillId="0" borderId="17" applyAlignment="1" applyProtection="1" pivotButton="0" quotePrefix="0" xfId="0">
      <alignment horizontal="left" vertical="center" wrapText="1"/>
      <protection locked="0" hidden="0"/>
    </xf>
    <xf numFmtId="0" fontId="16" fillId="0" borderId="17" applyAlignment="1" applyProtection="1" pivotButton="0" quotePrefix="0" xfId="0">
      <alignment horizontal="left" vertical="center" wrapText="1"/>
      <protection locked="0" hidden="0"/>
    </xf>
    <xf numFmtId="166" fontId="16" fillId="0" borderId="0" applyAlignment="1" applyProtection="1" pivotButton="0" quotePrefix="0" xfId="0">
      <alignment horizontal="left" vertical="center" wrapText="1"/>
      <protection locked="0" hidden="0"/>
    </xf>
    <xf numFmtId="166" fontId="16" fillId="0" borderId="17" applyAlignment="1" applyProtection="1" pivotButton="0" quotePrefix="0" xfId="0">
      <alignment horizontal="left" vertical="center" wrapText="1"/>
      <protection locked="0" hidden="0"/>
    </xf>
    <xf numFmtId="15" fontId="16" fillId="0" borderId="0" applyAlignment="1" applyProtection="1" pivotButton="0" quotePrefix="0" xfId="0">
      <alignment horizontal="left" vertical="center" wrapText="1"/>
      <protection locked="0" hidden="0"/>
    </xf>
    <xf numFmtId="175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17" applyAlignment="1" applyProtection="1" pivotButton="0" quotePrefix="0" xfId="0">
      <alignment horizontal="left" vertical="center" wrapText="1"/>
      <protection locked="0" hidden="0"/>
    </xf>
    <xf numFmtId="0" fontId="18" fillId="3" borderId="20" applyAlignment="1" pivotButton="0" quotePrefix="0" xfId="0">
      <alignment horizontal="left"/>
    </xf>
    <xf numFmtId="0" fontId="36" fillId="3" borderId="93" applyAlignment="1" pivotButton="0" quotePrefix="0" xfId="0">
      <alignment horizontal="center"/>
    </xf>
    <xf numFmtId="0" fontId="36" fillId="3" borderId="5" applyAlignment="1" pivotButton="0" quotePrefix="0" xfId="0">
      <alignment horizontal="center"/>
    </xf>
    <xf numFmtId="0" fontId="36" fillId="3" borderId="94" applyAlignment="1" pivotButton="0" quotePrefix="0" xfId="0">
      <alignment horizontal="center"/>
    </xf>
    <xf numFmtId="0" fontId="36" fillId="3" borderId="95" applyAlignment="1" pivotButton="0" quotePrefix="0" xfId="0">
      <alignment horizontal="center"/>
    </xf>
    <xf numFmtId="0" fontId="36" fillId="3" borderId="96" applyAlignment="1" pivotButton="0" quotePrefix="0" xfId="0">
      <alignment horizontal="center"/>
    </xf>
    <xf numFmtId="0" fontId="36" fillId="3" borderId="97" applyAlignment="1" pivotButton="0" quotePrefix="0" xfId="0">
      <alignment horizontal="center"/>
    </xf>
    <xf numFmtId="0" fontId="36" fillId="3" borderId="99" applyAlignment="1" pivotButton="0" quotePrefix="0" xfId="0">
      <alignment horizontal="center"/>
    </xf>
    <xf numFmtId="0" fontId="36" fillId="3" borderId="10" applyAlignment="1" pivotButton="0" quotePrefix="0" xfId="0">
      <alignment horizontal="center"/>
    </xf>
    <xf numFmtId="0" fontId="36" fillId="3" borderId="11" applyAlignment="1" pivotButton="0" quotePrefix="0" xfId="0">
      <alignment horizontal="center"/>
    </xf>
    <xf numFmtId="0" fontId="16" fillId="0" borderId="101" applyAlignment="1" applyProtection="1" pivotButton="0" quotePrefix="0" xfId="0">
      <alignment horizontal="left" wrapText="1"/>
      <protection locked="0" hidden="0"/>
    </xf>
    <xf numFmtId="0" fontId="16" fillId="0" borderId="75" applyAlignment="1" applyProtection="1" pivotButton="0" quotePrefix="0" xfId="0">
      <alignment horizontal="left" wrapText="1"/>
      <protection locked="0" hidden="0"/>
    </xf>
    <xf numFmtId="0" fontId="16" fillId="0" borderId="102" applyAlignment="1" applyProtection="1" pivotButton="0" quotePrefix="0" xfId="0">
      <alignment horizontal="left" wrapText="1"/>
      <protection locked="0" hidden="0"/>
    </xf>
    <xf numFmtId="0" fontId="16" fillId="0" borderId="76" applyAlignment="1" applyProtection="1" pivotButton="0" quotePrefix="0" xfId="0">
      <alignment horizontal="left" wrapText="1"/>
      <protection locked="0" hidden="0"/>
    </xf>
    <xf numFmtId="0" fontId="16" fillId="0" borderId="103" applyAlignment="1" applyProtection="1" pivotButton="0" quotePrefix="0" xfId="0">
      <alignment horizontal="left" wrapText="1"/>
      <protection locked="0" hidden="0"/>
    </xf>
    <xf numFmtId="0" fontId="16" fillId="0" borderId="39" applyAlignment="1" applyProtection="1" pivotButton="0" quotePrefix="0" xfId="0">
      <alignment horizontal="left" wrapText="1"/>
      <protection locked="0" hidden="0"/>
    </xf>
    <xf numFmtId="0" fontId="16" fillId="0" borderId="104" applyAlignment="1" applyProtection="1" pivotButton="0" quotePrefix="0" xfId="0">
      <alignment horizontal="left" wrapText="1"/>
      <protection locked="0" hidden="0"/>
    </xf>
    <xf numFmtId="0" fontId="16" fillId="0" borderId="40" applyAlignment="1" applyProtection="1" pivotButton="0" quotePrefix="0" xfId="0">
      <alignment horizontal="left" wrapText="1"/>
      <protection locked="0" hidden="0"/>
    </xf>
    <xf numFmtId="0" fontId="16" fillId="0" borderId="75" applyAlignment="1" applyProtection="1" pivotButton="0" quotePrefix="0" xfId="0">
      <alignment horizontal="left" wrapText="1"/>
      <protection locked="0" hidden="0"/>
    </xf>
    <xf numFmtId="0" fontId="16" fillId="0" borderId="76" applyAlignment="1" applyProtection="1" pivotButton="0" quotePrefix="0" xfId="0">
      <alignment horizontal="left" wrapText="1"/>
      <protection locked="0" hidden="0"/>
    </xf>
    <xf numFmtId="0" fontId="16" fillId="0" borderId="106" applyAlignment="1" applyProtection="1" pivotButton="0" quotePrefix="0" xfId="0">
      <alignment horizontal="left" wrapText="1"/>
      <protection locked="0" hidden="0"/>
    </xf>
    <xf numFmtId="0" fontId="16" fillId="0" borderId="57" applyAlignment="1" applyProtection="1" pivotButton="0" quotePrefix="0" xfId="0">
      <alignment horizontal="left" wrapText="1"/>
      <protection locked="0" hidden="0"/>
    </xf>
    <xf numFmtId="0" fontId="16" fillId="0" borderId="31" applyAlignment="1" applyProtection="1" pivotButton="0" quotePrefix="0" xfId="0">
      <alignment horizontal="left" wrapText="1"/>
      <protection locked="0" hidden="0"/>
    </xf>
    <xf numFmtId="0" fontId="16" fillId="0" borderId="111" applyAlignment="1" applyProtection="1" pivotButton="0" quotePrefix="0" xfId="0">
      <alignment horizontal="left" wrapText="1"/>
      <protection locked="0" hidden="0"/>
    </xf>
    <xf numFmtId="0" fontId="16" fillId="0" borderId="109" applyAlignment="1" applyProtection="1" pivotButton="0" quotePrefix="0" xfId="0">
      <alignment horizontal="left" wrapText="1"/>
      <protection locked="0" hidden="0"/>
    </xf>
    <xf numFmtId="0" fontId="16" fillId="0" borderId="110" applyAlignment="1" applyProtection="1" pivotButton="0" quotePrefix="0" xfId="0">
      <alignment horizontal="left" wrapText="1"/>
      <protection locked="0" hidden="0"/>
    </xf>
    <xf numFmtId="0" fontId="16" fillId="0" borderId="112" applyAlignment="1" applyProtection="1" pivotButton="0" quotePrefix="0" xfId="0">
      <alignment horizontal="left" wrapText="1"/>
      <protection locked="0" hidden="0"/>
    </xf>
    <xf numFmtId="0" fontId="15" fillId="0" borderId="28" applyAlignment="1" pivotButton="0" quotePrefix="0" xfId="0">
      <alignment horizontal="right"/>
    </xf>
    <xf numFmtId="0" fontId="16" fillId="0" borderId="27" applyAlignment="1" pivotButton="0" quotePrefix="0" xfId="0">
      <alignment horizontal="center"/>
    </xf>
    <xf numFmtId="0" fontId="16" fillId="0" borderId="28" applyAlignment="1" pivotButton="0" quotePrefix="0" xfId="0">
      <alignment horizontal="center"/>
    </xf>
    <xf numFmtId="0" fontId="16" fillId="0" borderId="113" applyAlignment="1" pivotButton="0" quotePrefix="0" xfId="0">
      <alignment horizontal="center"/>
    </xf>
    <xf numFmtId="0" fontId="16" fillId="0" borderId="3" applyAlignment="1" applyProtection="1" pivotButton="0" quotePrefix="0" xfId="0">
      <alignment horizontal="left" vertical="top" wrapText="1"/>
      <protection locked="0" hidden="0"/>
    </xf>
    <xf numFmtId="0" fontId="16" fillId="0" borderId="39" applyAlignment="1" applyProtection="1" pivotButton="0" quotePrefix="0" xfId="0">
      <alignment horizontal="left" wrapText="1"/>
      <protection locked="0" hidden="0"/>
    </xf>
    <xf numFmtId="0" fontId="16" fillId="0" borderId="40" applyAlignment="1" applyProtection="1" pivotButton="0" quotePrefix="0" xfId="0">
      <alignment horizontal="left" wrapText="1"/>
      <protection locked="0" hidden="0"/>
    </xf>
    <xf numFmtId="0" fontId="16" fillId="0" borderId="57" applyAlignment="1" applyProtection="1" pivotButton="0" quotePrefix="0" xfId="0">
      <alignment horizontal="left" wrapText="1"/>
      <protection locked="0" hidden="0"/>
    </xf>
    <xf numFmtId="0" fontId="16" fillId="0" borderId="5" applyAlignment="1" applyProtection="1" pivotButton="0" quotePrefix="0" xfId="0">
      <alignment horizontal="left" wrapText="1"/>
      <protection locked="0" hidden="0"/>
    </xf>
    <xf numFmtId="0" fontId="16" fillId="0" borderId="11" applyAlignment="1" applyProtection="1" pivotButton="0" quotePrefix="0" xfId="0">
      <alignment horizontal="left" wrapText="1"/>
      <protection locked="0" hidden="0"/>
    </xf>
    <xf numFmtId="0" fontId="18" fillId="3" borderId="6" applyAlignment="1" pivotButton="0" quotePrefix="0" xfId="0">
      <alignment horizontal="left" vertical="center"/>
    </xf>
    <xf numFmtId="0" fontId="36" fillId="0" borderId="0" applyAlignment="1" pivotButton="0" quotePrefix="0" xfId="0">
      <alignment horizontal="left" vertical="center" wrapText="1"/>
    </xf>
    <xf numFmtId="0" fontId="36" fillId="0" borderId="12" applyAlignment="1" pivotButton="0" quotePrefix="0" xfId="0">
      <alignment horizontal="left" vertical="center" wrapText="1"/>
    </xf>
    <xf numFmtId="0" fontId="0" fillId="0" borderId="12" applyAlignment="1" applyProtection="1" pivotButton="0" quotePrefix="0" xfId="0">
      <alignment horizontal="center"/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36" fillId="3" borderId="11" applyAlignment="1" pivotButton="0" quotePrefix="0" xfId="0">
      <alignment horizontal="center" vertical="center" wrapText="1"/>
    </xf>
    <xf numFmtId="0" fontId="36" fillId="3" borderId="10" applyAlignment="1" pivotButton="0" quotePrefix="0" xfId="0">
      <alignment horizontal="center" vertical="center" wrapText="1"/>
    </xf>
    <xf numFmtId="0" fontId="32" fillId="0" borderId="83" applyAlignment="1" applyProtection="1" pivotButton="0" quotePrefix="0" xfId="4">
      <alignment horizontal="left" vertical="top" wrapText="1"/>
      <protection locked="0" hidden="0"/>
    </xf>
    <xf numFmtId="0" fontId="37" fillId="0" borderId="83" applyAlignment="1" applyProtection="1" pivotButton="0" quotePrefix="0" xfId="4">
      <alignment horizontal="left" vertical="top" wrapText="1"/>
      <protection locked="0" hidden="0"/>
    </xf>
    <xf numFmtId="0" fontId="37" fillId="0" borderId="0" applyAlignment="1" applyProtection="1" pivotButton="0" quotePrefix="0" xfId="4">
      <alignment horizontal="left" vertical="top" wrapText="1"/>
      <protection locked="0" hidden="0"/>
    </xf>
    <xf numFmtId="0" fontId="37" fillId="0" borderId="84" applyAlignment="1" applyProtection="1" pivotButton="0" quotePrefix="0" xfId="4">
      <alignment horizontal="left" vertical="top" wrapText="1"/>
      <protection locked="0" hidden="0"/>
    </xf>
    <xf numFmtId="164" fontId="16" fillId="0" borderId="41" applyAlignment="1" applyProtection="1" pivotButton="0" quotePrefix="0" xfId="0">
      <alignment horizontal="left" vertical="center" wrapText="1"/>
      <protection locked="0" hidden="0"/>
    </xf>
    <xf numFmtId="164" fontId="16" fillId="0" borderId="46" applyAlignment="1" applyProtection="1" pivotButton="0" quotePrefix="0" xfId="0">
      <alignment horizontal="left" vertical="center" wrapText="1"/>
      <protection locked="0" hidden="0"/>
    </xf>
    <xf numFmtId="0" fontId="36" fillId="3" borderId="86" applyAlignment="1" pivotButton="0" quotePrefix="0" xfId="0">
      <alignment horizontal="center"/>
    </xf>
    <xf numFmtId="0" fontId="36" fillId="3" borderId="87" applyAlignment="1" pivotButton="0" quotePrefix="0" xfId="0">
      <alignment horizontal="center"/>
    </xf>
    <xf numFmtId="164" fontId="16" fillId="0" borderId="88" applyAlignment="1" applyProtection="1" pivotButton="0" quotePrefix="0" xfId="0">
      <alignment horizontal="left" vertical="center" wrapText="1"/>
      <protection locked="0" hidden="0"/>
    </xf>
    <xf numFmtId="164" fontId="16" fillId="0" borderId="89" applyAlignment="1" applyProtection="1" pivotButton="0" quotePrefix="0" xfId="0">
      <alignment horizontal="left" vertical="center" wrapText="1"/>
      <protection locked="0" hidden="0"/>
    </xf>
    <xf numFmtId="0" fontId="0" fillId="0" borderId="3" pivotButton="0" quotePrefix="0" xfId="0"/>
    <xf numFmtId="0" fontId="0" fillId="0" borderId="12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0" fontId="0" fillId="0" borderId="16" pivotButton="0" quotePrefix="0" xfId="0"/>
    <xf numFmtId="173" fontId="0" fillId="0" borderId="4" applyAlignment="1" applyProtection="1" pivotButton="0" quotePrefix="0" xfId="0">
      <alignment horizontal="left" vertical="top" wrapText="1"/>
      <protection locked="0" hidden="0"/>
    </xf>
    <xf numFmtId="0" fontId="0" fillId="0" borderId="4" applyProtection="1" pivotButton="0" quotePrefix="0" xfId="0">
      <protection locked="0" hidden="0"/>
    </xf>
    <xf numFmtId="0" fontId="0" fillId="0" borderId="4" pivotButton="0" quotePrefix="0" xfId="0"/>
    <xf numFmtId="174" fontId="0" fillId="0" borderId="0" applyAlignment="1" applyProtection="1" pivotButton="0" quotePrefix="0" xfId="0">
      <alignment horizontal="left" vertical="top" wrapText="1"/>
      <protection locked="0" hidden="0"/>
    </xf>
    <xf numFmtId="175" fontId="0" fillId="0" borderId="12" applyAlignment="1" applyProtection="1" pivotButton="0" quotePrefix="0" xfId="0">
      <alignment horizontal="left" vertical="top" wrapText="1"/>
      <protection locked="0" hidden="0"/>
    </xf>
    <xf numFmtId="175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28" pivotButton="0" quotePrefix="0" xfId="0"/>
    <xf numFmtId="173" fontId="5" fillId="0" borderId="0" applyAlignment="1" pivotButton="0" quotePrefix="0" xfId="0">
      <alignment horizontal="left"/>
    </xf>
    <xf numFmtId="166" fontId="5" fillId="0" borderId="0" applyAlignment="1" pivotButton="0" quotePrefix="0" xfId="0">
      <alignment horizontal="left"/>
    </xf>
    <xf numFmtId="0" fontId="18" fillId="3" borderId="125" applyAlignment="1" pivotButton="0" quotePrefix="0" xfId="0">
      <alignment horizontal="center"/>
    </xf>
    <xf numFmtId="0" fontId="0" fillId="0" borderId="21" pivotButton="0" quotePrefix="0" xfId="0"/>
    <xf numFmtId="0" fontId="0" fillId="0" borderId="23" pivotButton="0" quotePrefix="0" xfId="0"/>
    <xf numFmtId="0" fontId="0" fillId="0" borderId="27" pivotButton="0" quotePrefix="0" xfId="0"/>
    <xf numFmtId="0" fontId="20" fillId="0" borderId="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8" pivotButton="0" quotePrefix="0" xfId="0"/>
    <xf numFmtId="0" fontId="0" fillId="0" borderId="12" pivotButton="0" quotePrefix="0" xfId="0"/>
    <xf numFmtId="0" fontId="0" fillId="0" borderId="18" pivotButton="0" quotePrefix="0" xfId="0"/>
    <xf numFmtId="0" fontId="0" fillId="0" borderId="61" pivotButton="0" quotePrefix="0" xfId="0"/>
    <xf numFmtId="0" fontId="32" fillId="3" borderId="131" applyAlignment="1" pivotButton="0" quotePrefix="0" xfId="0">
      <alignment horizontal="center"/>
    </xf>
    <xf numFmtId="0" fontId="18" fillId="3" borderId="64" applyAlignment="1" pivotButton="0" quotePrefix="0" xfId="0">
      <alignment horizontal="center"/>
    </xf>
    <xf numFmtId="0" fontId="0" fillId="0" borderId="46" pivotButton="0" quotePrefix="0" xfId="0"/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0" fontId="0" fillId="0" borderId="57" applyProtection="1" pivotButton="0" quotePrefix="0" xfId="0">
      <protection locked="0" hidden="0"/>
    </xf>
    <xf numFmtId="0" fontId="0" fillId="0" borderId="44" applyProtection="1" pivotButton="0" quotePrefix="0" xfId="0">
      <protection locked="0" hidden="0"/>
    </xf>
    <xf numFmtId="0" fontId="0" fillId="0" borderId="114" applyProtection="1" pivotButton="0" quotePrefix="0" xfId="0">
      <protection locked="0" hidden="0"/>
    </xf>
    <xf numFmtId="0" fontId="0" fillId="0" borderId="129" applyProtection="1" pivotButton="0" quotePrefix="0" xfId="0">
      <protection locked="0" hidden="0"/>
    </xf>
    <xf numFmtId="0" fontId="16" fillId="0" borderId="45" applyAlignment="1" applyProtection="1" pivotButton="0" quotePrefix="0" xfId="0">
      <alignment horizontal="center" vertical="center" wrapText="1"/>
      <protection locked="0" hidden="0"/>
    </xf>
    <xf numFmtId="0" fontId="0" fillId="0" borderId="48" applyProtection="1" pivotButton="0" quotePrefix="0" xfId="0">
      <protection locked="0" hidden="0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14" applyAlignment="1" applyProtection="1" pivotButton="0" quotePrefix="0" xfId="0">
      <alignment horizontal="center" vertical="center" wrapText="1"/>
      <protection locked="0" hidden="0"/>
    </xf>
    <xf numFmtId="166" fontId="16" fillId="0" borderId="37" applyAlignment="1" applyProtection="1" pivotButton="0" quotePrefix="0" xfId="0">
      <alignment horizontal="center" vertical="center" wrapText="1"/>
      <protection locked="0" hidden="0"/>
    </xf>
    <xf numFmtId="166" fontId="16" fillId="0" borderId="54" applyAlignment="1" applyProtection="1" pivotButton="0" quotePrefix="0" xfId="0">
      <alignment horizontal="center" vertical="center" wrapText="1"/>
      <protection locked="0" hidden="0"/>
    </xf>
    <xf numFmtId="166" fontId="16" fillId="0" borderId="59" applyAlignment="1" applyProtection="1" pivotButton="0" quotePrefix="0" xfId="0">
      <alignment horizontal="center" vertical="center" wrapText="1"/>
      <protection locked="0" hidden="0"/>
    </xf>
    <xf numFmtId="166" fontId="16" fillId="0" borderId="32" applyAlignment="1" pivotButton="0" quotePrefix="0" xfId="0">
      <alignment horizontal="center" vertical="center" wrapText="1"/>
    </xf>
    <xf numFmtId="166" fontId="16" fillId="0" borderId="15" applyAlignment="1" pivotButton="0" quotePrefix="0" xfId="0">
      <alignment horizontal="center" vertical="center" wrapText="1"/>
    </xf>
    <xf numFmtId="166" fontId="16" fillId="0" borderId="15" applyAlignment="1" applyProtection="1" pivotButton="0" quotePrefix="0" xfId="0">
      <alignment horizontal="center" vertical="center" wrapText="1"/>
      <protection locked="0" hidden="0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166" fontId="16" fillId="0" borderId="0" applyAlignment="1" applyProtection="1" pivotButton="0" quotePrefix="0" xfId="0">
      <alignment horizontal="center"/>
      <protection locked="0" hidden="0"/>
    </xf>
    <xf numFmtId="166" fontId="16" fillId="0" borderId="37" applyAlignment="1" pivotButton="0" quotePrefix="0" xfId="0">
      <alignment horizontal="center" vertical="center" wrapText="1"/>
    </xf>
    <xf numFmtId="0" fontId="9" fillId="0" borderId="45" applyAlignment="1" applyProtection="1" pivotButton="0" quotePrefix="0" xfId="0">
      <alignment horizontal="center" vertical="center" shrinkToFit="1"/>
      <protection locked="0" hidden="0"/>
    </xf>
    <xf numFmtId="0" fontId="9" fillId="0" borderId="45" applyAlignment="1" applyProtection="1" pivotButton="0" quotePrefix="0" xfId="0">
      <alignment horizontal="center" vertical="center" wrapText="1"/>
      <protection locked="0" hidden="0"/>
    </xf>
    <xf numFmtId="168" fontId="19" fillId="0" borderId="0" applyProtection="1" pivotButton="0" quotePrefix="0" xfId="0">
      <protection locked="0" hidden="0"/>
    </xf>
    <xf numFmtId="168" fontId="5" fillId="0" borderId="0" applyProtection="1" pivotButton="0" quotePrefix="0" xfId="0">
      <protection locked="0" hidden="0"/>
    </xf>
    <xf numFmtId="168" fontId="4" fillId="0" borderId="0" applyAlignment="1" applyProtection="1" pivotButton="0" quotePrefix="0" xfId="0">
      <alignment horizontal="center"/>
      <protection locked="0" hidden="0"/>
    </xf>
    <xf numFmtId="168" fontId="18" fillId="3" borderId="10" applyAlignment="1" pivotButton="0" quotePrefix="0" xfId="0">
      <alignment horizontal="center" wrapText="1"/>
    </xf>
    <xf numFmtId="0" fontId="0" fillId="0" borderId="5" pivotButton="0" quotePrefix="0" xfId="0"/>
    <xf numFmtId="0" fontId="0" fillId="0" borderId="11" pivotButton="0" quotePrefix="0" xfId="0"/>
    <xf numFmtId="168" fontId="16" fillId="0" borderId="18" applyAlignment="1" applyProtection="1" pivotButton="0" quotePrefix="0" xfId="0">
      <alignment horizontal="center" vertical="center" wrapText="1" readingOrder="1"/>
      <protection locked="0" hidden="0"/>
    </xf>
    <xf numFmtId="168" fontId="16" fillId="0" borderId="71" applyAlignment="1" applyProtection="1" pivotButton="0" quotePrefix="0" xfId="0">
      <alignment horizontal="center" vertical="center" wrapText="1" readingOrder="1"/>
      <protection locked="0" hidden="0"/>
    </xf>
    <xf numFmtId="168" fontId="16" fillId="0" borderId="38" applyAlignment="1" applyProtection="1" pivotButton="0" quotePrefix="0" xfId="0">
      <alignment horizontal="center" vertical="center" wrapText="1" readingOrder="1"/>
      <protection locked="0" hidden="0"/>
    </xf>
    <xf numFmtId="168" fontId="16" fillId="0" borderId="19" applyAlignment="1" applyProtection="1" pivotButton="0" quotePrefix="0" xfId="0">
      <alignment horizontal="center" vertical="center" wrapText="1" readingOrder="1"/>
      <protection locked="0" hidden="0"/>
    </xf>
    <xf numFmtId="168" fontId="5" fillId="0" borderId="38" applyAlignment="1" applyProtection="1" pivotButton="0" quotePrefix="0" xfId="0">
      <alignment horizontal="center" vertical="center" wrapText="1"/>
      <protection locked="0" hidden="0"/>
    </xf>
    <xf numFmtId="168" fontId="5" fillId="0" borderId="19" applyAlignment="1" applyProtection="1" pivotButton="0" quotePrefix="0" xfId="0">
      <alignment horizontal="center" vertical="center" wrapText="1"/>
      <protection locked="0" hidden="0"/>
    </xf>
    <xf numFmtId="168" fontId="5" fillId="0" borderId="57" applyAlignment="1" applyProtection="1" pivotButton="0" quotePrefix="0" xfId="0">
      <alignment horizontal="center" vertical="center" wrapText="1"/>
      <protection locked="0" hidden="0"/>
    </xf>
    <xf numFmtId="168" fontId="5" fillId="0" borderId="0" applyAlignment="1" applyProtection="1" pivotButton="0" quotePrefix="0" xfId="0">
      <alignment horizontal="center" vertical="center" wrapText="1"/>
      <protection locked="0" hidden="0"/>
    </xf>
    <xf numFmtId="168" fontId="19" fillId="0" borderId="0" applyAlignment="1" applyProtection="1" pivotButton="0" quotePrefix="0" xfId="0">
      <alignment horizontal="left"/>
      <protection locked="0" hidden="0"/>
    </xf>
    <xf numFmtId="0" fontId="0" fillId="0" borderId="20" pivotButton="0" quotePrefix="0" xfId="0"/>
    <xf numFmtId="0" fontId="0" fillId="0" borderId="90" pivotButton="0" quotePrefix="0" xfId="0"/>
    <xf numFmtId="0" fontId="18" fillId="3" borderId="139" applyAlignment="1" pivotButton="0" quotePrefix="0" xfId="0">
      <alignment horizontal="center" vertical="center"/>
    </xf>
    <xf numFmtId="176" fontId="16" fillId="0" borderId="17" applyAlignment="1" applyProtection="1" pivotButton="0" quotePrefix="0" xfId="0">
      <alignment horizontal="left" vertical="center" wrapText="1"/>
      <protection locked="0" hidden="0"/>
    </xf>
    <xf numFmtId="0" fontId="0" fillId="0" borderId="17" applyProtection="1" pivotButton="0" quotePrefix="0" xfId="0">
      <protection locked="0" hidden="0"/>
    </xf>
    <xf numFmtId="166" fontId="16" fillId="0" borderId="17" applyAlignment="1" applyProtection="1" pivotButton="0" quotePrefix="0" xfId="0">
      <alignment horizontal="left" vertical="center" wrapText="1"/>
      <protection locked="0" hidden="0"/>
    </xf>
    <xf numFmtId="175" fontId="16" fillId="0" borderId="0" applyAlignment="1" applyProtection="1" pivotButton="0" quotePrefix="0" xfId="0">
      <alignment horizontal="left" vertical="center" wrapText="1"/>
      <protection locked="0" hidden="0"/>
    </xf>
    <xf numFmtId="0" fontId="0" fillId="0" borderId="58" pivotButton="0" quotePrefix="0" xfId="0"/>
    <xf numFmtId="0" fontId="0" fillId="0" borderId="138" pivotButton="0" quotePrefix="0" xfId="0"/>
    <xf numFmtId="166" fontId="16" fillId="0" borderId="101" applyAlignment="1" applyProtection="1" pivotButton="0" quotePrefix="0" xfId="0">
      <alignment horizontal="center" wrapText="1"/>
      <protection locked="0" hidden="0"/>
    </xf>
    <xf numFmtId="166" fontId="16" fillId="0" borderId="75" applyAlignment="1" applyProtection="1" pivotButton="0" quotePrefix="0" xfId="0">
      <alignment horizontal="center" wrapText="1"/>
      <protection locked="0" hidden="0"/>
    </xf>
    <xf numFmtId="0" fontId="0" fillId="0" borderId="63" applyProtection="1" pivotButton="0" quotePrefix="0" xfId="0">
      <protection locked="0" hidden="0"/>
    </xf>
    <xf numFmtId="0" fontId="0" fillId="0" borderId="74" applyProtection="1" pivotButton="0" quotePrefix="0" xfId="0">
      <protection locked="0" hidden="0"/>
    </xf>
    <xf numFmtId="166" fontId="16" fillId="0" borderId="103" applyAlignment="1" applyProtection="1" pivotButton="0" quotePrefix="0" xfId="0">
      <alignment horizontal="center" wrapText="1"/>
      <protection locked="0" hidden="0"/>
    </xf>
    <xf numFmtId="166" fontId="16" fillId="0" borderId="39" applyAlignment="1" applyProtection="1" pivotButton="0" quotePrefix="0" xfId="0">
      <alignment horizontal="center" wrapText="1"/>
      <protection locked="0" hidden="0"/>
    </xf>
    <xf numFmtId="0" fontId="0" fillId="0" borderId="38" applyProtection="1" pivotButton="0" quotePrefix="0" xfId="0">
      <protection locked="0" hidden="0"/>
    </xf>
    <xf numFmtId="166" fontId="16" fillId="0" borderId="105" applyAlignment="1" applyProtection="1" pivotButton="0" quotePrefix="0" xfId="0">
      <alignment horizontal="center" wrapText="1"/>
      <protection locked="0" hidden="0"/>
    </xf>
    <xf numFmtId="166" fontId="16" fillId="0" borderId="32" applyAlignment="1" applyProtection="1" pivotButton="0" quotePrefix="0" xfId="0">
      <alignment horizontal="center" wrapText="1"/>
      <protection locked="0" hidden="0"/>
    </xf>
    <xf numFmtId="0" fontId="16" fillId="0" borderId="135" applyAlignment="1" applyProtection="1" pivotButton="0" quotePrefix="0" xfId="0">
      <alignment horizontal="left" wrapText="1"/>
      <protection locked="0" hidden="0"/>
    </xf>
    <xf numFmtId="0" fontId="0" fillId="0" borderId="31" applyProtection="1" pivotButton="0" quotePrefix="0" xfId="0">
      <protection locked="0" hidden="0"/>
    </xf>
    <xf numFmtId="166" fontId="16" fillId="0" borderId="108" applyAlignment="1" applyProtection="1" pivotButton="0" quotePrefix="0" xfId="0">
      <alignment horizontal="center" wrapText="1"/>
      <protection locked="0" hidden="0"/>
    </xf>
    <xf numFmtId="166" fontId="16" fillId="0" borderId="109" applyAlignment="1" applyProtection="1" pivotButton="0" quotePrefix="0" xfId="0">
      <alignment horizontal="center" wrapText="1"/>
      <protection locked="0" hidden="0"/>
    </xf>
    <xf numFmtId="0" fontId="0" fillId="0" borderId="136" applyProtection="1" pivotButton="0" quotePrefix="0" xfId="0">
      <protection locked="0" hidden="0"/>
    </xf>
    <xf numFmtId="0" fontId="0" fillId="0" borderId="137" applyProtection="1" pivotButton="0" quotePrefix="0" xfId="0">
      <protection locked="0" hidden="0"/>
    </xf>
    <xf numFmtId="0" fontId="16" fillId="0" borderId="133" applyAlignment="1" pivotButton="0" quotePrefix="0" xfId="0">
      <alignment horizontal="center"/>
    </xf>
    <xf numFmtId="170" fontId="16" fillId="0" borderId="74" applyAlignment="1" applyProtection="1" pivotButton="0" quotePrefix="0" xfId="0">
      <alignment horizontal="center"/>
      <protection locked="0" hidden="0"/>
    </xf>
    <xf numFmtId="171" fontId="16" fillId="0" borderId="75" applyAlignment="1" applyProtection="1" pivotButton="0" quotePrefix="0" xfId="0">
      <alignment horizontal="center"/>
      <protection locked="0" hidden="0"/>
    </xf>
    <xf numFmtId="172" fontId="16" fillId="0" borderId="75" applyAlignment="1" pivotButton="0" quotePrefix="0" xfId="0">
      <alignment horizontal="center"/>
    </xf>
    <xf numFmtId="170" fontId="16" fillId="0" borderId="38" applyAlignment="1" applyProtection="1" pivotButton="0" quotePrefix="0" xfId="0">
      <alignment horizontal="center"/>
      <protection locked="0" hidden="0"/>
    </xf>
    <xf numFmtId="171" fontId="16" fillId="0" borderId="39" applyAlignment="1" applyProtection="1" pivotButton="0" quotePrefix="0" xfId="0">
      <alignment horizontal="center"/>
      <protection locked="0" hidden="0"/>
    </xf>
    <xf numFmtId="172" fontId="16" fillId="0" borderId="39" applyAlignment="1" pivotButton="0" quotePrefix="0" xfId="0">
      <alignment horizontal="center"/>
    </xf>
    <xf numFmtId="170" fontId="16" fillId="0" borderId="19" applyAlignment="1" applyProtection="1" pivotButton="0" quotePrefix="0" xfId="0">
      <alignment horizontal="center"/>
      <protection locked="0" hidden="0"/>
    </xf>
    <xf numFmtId="170" fontId="16" fillId="0" borderId="71" applyAlignment="1" applyProtection="1" pivotButton="0" quotePrefix="0" xfId="0">
      <alignment horizontal="center"/>
      <protection locked="0" hidden="0"/>
    </xf>
    <xf numFmtId="170" fontId="16" fillId="0" borderId="10" applyAlignment="1" applyProtection="1" pivotButton="0" quotePrefix="0" xfId="0">
      <alignment horizontal="center"/>
      <protection locked="0" hidden="0"/>
    </xf>
    <xf numFmtId="171" fontId="16" fillId="0" borderId="5" applyAlignment="1" applyProtection="1" pivotButton="0" quotePrefix="0" xfId="0">
      <alignment horizontal="center"/>
      <protection locked="0" hidden="0"/>
    </xf>
    <xf numFmtId="172" fontId="16" fillId="0" borderId="5" applyAlignment="1" pivotButton="0" quotePrefix="0" xfId="0">
      <alignment horizontal="center"/>
    </xf>
    <xf numFmtId="0" fontId="0" fillId="0" borderId="3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169" fontId="36" fillId="3" borderId="5" applyAlignment="1" pivotButton="0" quotePrefix="0" xfId="0">
      <alignment horizontal="center" vertical="center" wrapText="1"/>
    </xf>
    <xf numFmtId="0" fontId="32" fillId="0" borderId="140" applyAlignment="1" applyProtection="1" pivotButton="0" quotePrefix="0" xfId="4">
      <alignment horizontal="left" vertical="top" wrapText="1"/>
      <protection locked="0" hidden="0"/>
    </xf>
    <xf numFmtId="0" fontId="0" fillId="0" borderId="83" applyProtection="1" pivotButton="0" quotePrefix="0" xfId="0">
      <protection locked="0" hidden="0"/>
    </xf>
    <xf numFmtId="0" fontId="0" fillId="0" borderId="84" applyProtection="1" pivotButton="0" quotePrefix="0" xfId="0">
      <protection locked="0" hidden="0"/>
    </xf>
    <xf numFmtId="0" fontId="36" fillId="3" borderId="141" applyAlignment="1" pivotButton="0" quotePrefix="0" xfId="0">
      <alignment horizontal="center"/>
    </xf>
    <xf numFmtId="0" fontId="0" fillId="0" borderId="87" pivotButton="0" quotePrefix="0" xfId="0"/>
    <xf numFmtId="164" fontId="16" fillId="0" borderId="143" applyAlignment="1" applyProtection="1" pivotButton="0" quotePrefix="0" xfId="0">
      <alignment horizontal="left" vertical="center" wrapText="1"/>
      <protection locked="0" hidden="0"/>
    </xf>
    <xf numFmtId="0" fontId="0" fillId="0" borderId="89" applyProtection="1" pivotButton="0" quotePrefix="0" xfId="0">
      <protection locked="0" hidden="0"/>
    </xf>
    <xf numFmtId="164" fontId="16" fillId="0" borderId="64" applyAlignment="1" applyProtection="1" pivotButton="0" quotePrefix="0" xfId="0">
      <alignment horizontal="left" vertical="center" wrapText="1"/>
      <protection locked="0" hidden="0"/>
    </xf>
    <xf numFmtId="0" fontId="0" fillId="0" borderId="46" applyProtection="1" pivotButton="0" quotePrefix="0" xfId="0">
      <protection locked="0" hidden="0"/>
    </xf>
  </cellXfs>
  <cellStyles count="63">
    <cellStyle name="Normal" xfId="0" builtinId="0"/>
    <cellStyle name="Normal 2" xfId="1"/>
    <cellStyle name="Normal 6 2" xfId="2"/>
    <cellStyle name="Note 2" xfId="3"/>
    <cellStyle name="Normal 3" xfId="4"/>
    <cellStyle name="Percent" xfId="5" builtinId="5"/>
    <cellStyle name="Title" xfId="6" builtinId="15"/>
    <cellStyle name="Heading 1" xfId="7" builtinId="16"/>
    <cellStyle name="Heading 2" xfId="8" builtinId="17"/>
    <cellStyle name="Heading 3" xfId="9" builtinId="18"/>
    <cellStyle name="Heading 4" xfId="10" builtinId="19"/>
    <cellStyle name="Good" xfId="11" builtinId="26"/>
    <cellStyle name="Bad" xfId="12" builtinId="27"/>
    <cellStyle name="Neutral" xfId="13" builtinId="28"/>
    <cellStyle name="Input" xfId="14" builtinId="20"/>
    <cellStyle name="Output" xfId="15" builtinId="21"/>
    <cellStyle name="Calculation" xfId="16" builtinId="22"/>
    <cellStyle name="Linked Cell" xfId="17" builtinId="24"/>
    <cellStyle name="Check Cell" xfId="18" builtinId="23"/>
    <cellStyle name="Warning Text" xfId="19" builtinId="11"/>
    <cellStyle name="Explanatory Text" xfId="20" builtinId="53"/>
    <cellStyle name="Total" xfId="21" builtinId="25"/>
    <cellStyle name="Accent1" xfId="22" builtinId="29"/>
    <cellStyle name="20% - Accent1" xfId="23" builtinId="30"/>
    <cellStyle name="40% - Accent1" xfId="24" builtinId="31"/>
    <cellStyle name="60% - Accent1" xfId="25" builtinId="32"/>
    <cellStyle name="Accent2" xfId="26" builtinId="33"/>
    <cellStyle name="20% - Accent2" xfId="27" builtinId="34"/>
    <cellStyle name="40% - Accent2" xfId="28" builtinId="35"/>
    <cellStyle name="60% - Accent2" xfId="29" builtinId="36"/>
    <cellStyle name="Accent3" xfId="30" builtinId="37"/>
    <cellStyle name="20% - Accent3" xfId="31" builtinId="38"/>
    <cellStyle name="40% - Accent3" xfId="32" builtinId="39"/>
    <cellStyle name="60% - Accent3" xfId="33" builtinId="40"/>
    <cellStyle name="Accent4" xfId="34" builtinId="41"/>
    <cellStyle name="20% - Accent4" xfId="35" builtinId="42"/>
    <cellStyle name="40% - Accent4" xfId="36" builtinId="43"/>
    <cellStyle name="60% - Accent4" xfId="37" builtinId="44"/>
    <cellStyle name="Accent5" xfId="38" builtinId="45"/>
    <cellStyle name="20% - Accent5" xfId="39" builtinId="46"/>
    <cellStyle name="40% - Accent5" xfId="40" builtinId="47"/>
    <cellStyle name="60% - Accent5" xfId="41" builtinId="48"/>
    <cellStyle name="Accent6" xfId="42" builtinId="49"/>
    <cellStyle name="20% - Accent6" xfId="43" builtinId="50"/>
    <cellStyle name="40% - Accent6" xfId="44" builtinId="51"/>
    <cellStyle name="60% - Accent6" xfId="45" builtinId="52"/>
    <cellStyle name="Normal 5" xfId="46"/>
    <cellStyle name="Normal 4" xfId="47"/>
    <cellStyle name="60% - Accent1 2" xfId="48"/>
    <cellStyle name="60% - Accent2 2" xfId="49"/>
    <cellStyle name="60% - Accent3 2" xfId="50"/>
    <cellStyle name="60% - Accent4 2" xfId="51"/>
    <cellStyle name="60% - Accent5 2" xfId="52"/>
    <cellStyle name="60% - Accent6 2" xfId="53"/>
    <cellStyle name="Neutral 2" xfId="54"/>
    <cellStyle name="Normal 15 3" xfId="55"/>
    <cellStyle name="Normal 2 2" xfId="56"/>
    <cellStyle name="Normal 205" xfId="57"/>
    <cellStyle name="Normal 3 2" xfId="58"/>
    <cellStyle name="Note 2 2" xfId="59"/>
    <cellStyle name="Style 1" xfId="60"/>
    <cellStyle name="Title 2" xfId="61"/>
    <cellStyle name="Normal 6" xfId="62"/>
  </cellStyles>
  <dxfs count="1063">
    <dxf>
      <font>
        <condense val="0"/>
        <color indexed="9"/>
        <extend val="0"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ACACA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externalLink" Target="/xl/externalLinks/externalLink1.xml" Id="rId22" /><Relationship Type="http://schemas.openxmlformats.org/officeDocument/2006/relationships/externalLink" Target="/xl/externalLinks/externalLink2.xml" Id="rId23" /><Relationship Type="http://schemas.openxmlformats.org/officeDocument/2006/relationships/externalLink" Target="/xl/externalLinks/externalLink3.xml" Id="rId24" /><Relationship Type="http://schemas.openxmlformats.org/officeDocument/2006/relationships/externalLink" Target="/xl/externalLinks/externalLink4.xml" Id="rId25" /><Relationship Type="http://schemas.openxmlformats.org/officeDocument/2006/relationships/styles" Target="styles.xml" Id="rId26" /><Relationship Type="http://schemas.openxmlformats.org/officeDocument/2006/relationships/theme" Target="theme/theme1.xml" Id="rId27" /><Relationship Type="http://schemas.microsoft.com/office/2006/relationships/vbaProject" Target="vbaProject.bin" Id="rId2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9</col>
      <colOff>29308</colOff>
      <row>0</row>
      <rowOff>58615</rowOff>
    </from>
    <to>
      <col>9</col>
      <colOff>596985</colOff>
      <row>0</row>
      <rowOff>285750</rowOff>
    </to>
    <pic macro="[0]!UnProtectAllOffice">
      <nvPicPr>
        <cNvPr id="12" name="Picture 11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6836020" y="58615"/>
          <a:ext cx="567677" cy="227135"/>
        </a:xfrm>
        <a:prstGeom prst="rect">
          <avLst/>
        </a:prstGeom>
        <a:ln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/Users/kamt/AppData/Local/Microsoft/Windows/INetCache/Content.Outlook/DCF3CG4M/MWD%20Surveys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Users/kamt/AppData/Local/Microsoft/Windows/INetCache/Content.Outlook/DCF3CG4M/RPS%20GEOFORMS-New.XLS" TargetMode="External" Id="rId1" 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https://d.docs.live.net/b50a630392c447f6/Desktop/SPL%201-13%20HZ%20104%20MARTENH%2004-17-074-25W4/01-20_4-20%20surveys.xls" TargetMode="External" Id="rId1" 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/Users/linde/Desktop/Template/WL_xxxxxx-xxx-xx-xx-xxx-xxWx-00_GeoformEarlier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!SUR1 (2)"/>
      <sheetName val="Sheet1"/>
      <sheetName val="MWD Surv"/>
    </sheetNames>
    <sheetDataSet>
      <sheetData sheetId="0"/>
      <sheetData sheetId="1"/>
      <sheetData sheetId="2">
        <row r="5">
          <cell r="F5">
            <v>245.34</v>
          </cell>
          <cell r="J5">
            <v>14</v>
          </cell>
        </row>
      </sheetData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Dropdown_Lists"/>
      <sheetName val="Well Data"/>
      <sheetName val="Tops"/>
      <sheetName val="Tops (dev)"/>
      <sheetName val="Tops (Hz)"/>
      <sheetName val="C Surv"/>
      <sheetName val="BIT "/>
      <sheetName val="BIT  (2)"/>
      <sheetName val="Daily"/>
      <sheetName val="Drilling Curve"/>
      <sheetName val="LOG"/>
      <sheetName val="DST"/>
      <sheetName val="Morn "/>
      <sheetName val="Morn 1"/>
      <sheetName val="Contractor Timesheet"/>
      <sheetName val="Employee Timesheet"/>
      <sheetName val="Title Page"/>
      <sheetName val="Table of Contents"/>
    </sheetNames>
    <sheetDataSet>
      <sheetData sheetId="0">
        <row r="2">
          <cell r="A2" t="str">
            <v xml:space="preserve">Alida Beds </v>
          </cell>
        </row>
        <row r="3">
          <cell r="A3" t="str">
            <v xml:space="preserve">Amaranth </v>
          </cell>
        </row>
        <row r="4">
          <cell r="A4" t="str">
            <v xml:space="preserve">Amco </v>
          </cell>
        </row>
        <row r="5">
          <cell r="A5" t="str">
            <v xml:space="preserve">Arcs  </v>
          </cell>
        </row>
        <row r="6">
          <cell r="A6" t="str">
            <v xml:space="preserve">Arctomys </v>
          </cell>
        </row>
        <row r="7">
          <cell r="A7" t="str">
            <v xml:space="preserve">Ardley Coal Seam </v>
          </cell>
        </row>
        <row r="8">
          <cell r="A8" t="str">
            <v xml:space="preserve">Artex </v>
          </cell>
        </row>
        <row r="9">
          <cell r="A9" t="str">
            <v xml:space="preserve">Ashern  </v>
          </cell>
        </row>
        <row r="10">
          <cell r="A10" t="str">
            <v xml:space="preserve">Babcock  </v>
          </cell>
        </row>
        <row r="11">
          <cell r="A11" t="str">
            <v xml:space="preserve">Bad Heart  </v>
          </cell>
        </row>
        <row r="12">
          <cell r="A12" t="str">
            <v xml:space="preserve">Badshot </v>
          </cell>
        </row>
        <row r="13">
          <cell r="A13" t="str">
            <v xml:space="preserve">Bakken </v>
          </cell>
        </row>
        <row r="14">
          <cell r="A14" t="str">
            <v xml:space="preserve">Baldonnel  </v>
          </cell>
        </row>
        <row r="15">
          <cell r="A15" t="str">
            <v xml:space="preserve">Banff  </v>
          </cell>
        </row>
        <row r="16">
          <cell r="A16" t="str">
            <v xml:space="preserve">Bantry   </v>
          </cell>
        </row>
        <row r="17">
          <cell r="A17" t="str">
            <v xml:space="preserve">Barons Sand </v>
          </cell>
        </row>
        <row r="18">
          <cell r="A18" t="str">
            <v xml:space="preserve">Basal Colorado Sand </v>
          </cell>
        </row>
        <row r="19">
          <cell r="A19" t="str">
            <v xml:space="preserve">Basal Quartz </v>
          </cell>
        </row>
        <row r="20">
          <cell r="A20" t="str">
            <v xml:space="preserve">Bearpaw Formation, Montana </v>
          </cell>
        </row>
        <row r="21">
          <cell r="A21" t="str">
            <v xml:space="preserve">Beaverhill Lake  </v>
          </cell>
        </row>
        <row r="22">
          <cell r="A22" t="str">
            <v xml:space="preserve">Beechy  </v>
          </cell>
        </row>
        <row r="23">
          <cell r="A23" t="str">
            <v xml:space="preserve">Beechy Halite </v>
          </cell>
        </row>
        <row r="24">
          <cell r="A24" t="str">
            <v xml:space="preserve">Belcourt  </v>
          </cell>
        </row>
        <row r="25">
          <cell r="A25" t="str">
            <v xml:space="preserve">Belle Fourche   </v>
          </cell>
        </row>
        <row r="26">
          <cell r="A26" t="str">
            <v xml:space="preserve">Belle Plaine  </v>
          </cell>
        </row>
        <row r="27">
          <cell r="A27" t="str">
            <v xml:space="preserve">Belloy  </v>
          </cell>
        </row>
        <row r="28">
          <cell r="A28" t="str">
            <v xml:space="preserve">Belly River  </v>
          </cell>
        </row>
        <row r="29">
          <cell r="A29" t="str">
            <v xml:space="preserve">Big Valley </v>
          </cell>
        </row>
        <row r="30">
          <cell r="A30" t="str">
            <v xml:space="preserve">Bigoray  </v>
          </cell>
        </row>
        <row r="31">
          <cell r="A31" t="str">
            <v xml:space="preserve">Birdbear  </v>
          </cell>
        </row>
        <row r="32">
          <cell r="A32" t="str">
            <v xml:space="preserve">Bistcho </v>
          </cell>
        </row>
        <row r="33">
          <cell r="A33" t="str">
            <v>Black Chert</v>
          </cell>
        </row>
        <row r="34">
          <cell r="A34" t="str">
            <v xml:space="preserve">Blackstone  </v>
          </cell>
        </row>
        <row r="35">
          <cell r="A35" t="str">
            <v xml:space="preserve">Blairmore  </v>
          </cell>
        </row>
        <row r="36">
          <cell r="A36" t="str">
            <v xml:space="preserve">Blood Reserve </v>
          </cell>
        </row>
        <row r="37">
          <cell r="A37" t="str">
            <v xml:space="preserve">Blue Ridge </v>
          </cell>
        </row>
        <row r="38">
          <cell r="A38" t="str">
            <v xml:space="preserve">Blueberry  </v>
          </cell>
        </row>
        <row r="39">
          <cell r="A39" t="str">
            <v xml:space="preserve">Bluesky </v>
          </cell>
        </row>
        <row r="40">
          <cell r="A40" t="str">
            <v xml:space="preserve">Boundary  </v>
          </cell>
        </row>
        <row r="41">
          <cell r="A41" t="str">
            <v xml:space="preserve">Bow Island  </v>
          </cell>
        </row>
        <row r="42">
          <cell r="A42" t="str">
            <v xml:space="preserve">Brazeau </v>
          </cell>
        </row>
        <row r="43">
          <cell r="A43" t="str">
            <v xml:space="preserve">Brown Lime </v>
          </cell>
        </row>
        <row r="44">
          <cell r="A44" t="str">
            <v xml:space="preserve">Buckinghorse  </v>
          </cell>
        </row>
        <row r="45">
          <cell r="A45" t="str">
            <v xml:space="preserve">Buick Creek Sand </v>
          </cell>
        </row>
        <row r="46">
          <cell r="A46" t="str">
            <v xml:space="preserve">Bullhead </v>
          </cell>
        </row>
        <row r="47">
          <cell r="A47" t="str">
            <v xml:space="preserve">Cadomin  </v>
          </cell>
        </row>
        <row r="48">
          <cell r="A48" t="str">
            <v xml:space="preserve">Cadotte  </v>
          </cell>
        </row>
        <row r="49">
          <cell r="A49" t="str">
            <v xml:space="preserve">Cairn  </v>
          </cell>
        </row>
        <row r="50">
          <cell r="A50" t="str">
            <v xml:space="preserve">Calmar  </v>
          </cell>
        </row>
        <row r="51">
          <cell r="A51" t="str">
            <v xml:space="preserve">Camrose  </v>
          </cell>
        </row>
        <row r="52">
          <cell r="A52" t="str">
            <v xml:space="preserve">Cantuar </v>
          </cell>
        </row>
        <row r="53">
          <cell r="A53" t="str">
            <v xml:space="preserve">Cardinal  </v>
          </cell>
        </row>
        <row r="54">
          <cell r="A54" t="str">
            <v xml:space="preserve">Cardinal Lake  </v>
          </cell>
        </row>
        <row r="55">
          <cell r="A55" t="str">
            <v xml:space="preserve">Cardium  </v>
          </cell>
        </row>
        <row r="56">
          <cell r="A56" t="str">
            <v xml:space="preserve">Cardium Zone  </v>
          </cell>
        </row>
        <row r="57">
          <cell r="A57" t="str">
            <v xml:space="preserve">Carievale Evaporite  </v>
          </cell>
        </row>
        <row r="58">
          <cell r="A58" t="str">
            <v xml:space="preserve">Carlile  </v>
          </cell>
        </row>
        <row r="59">
          <cell r="A59" t="str">
            <v xml:space="preserve">Carnarvon  </v>
          </cell>
        </row>
        <row r="60">
          <cell r="A60" t="str">
            <v xml:space="preserve">Carrot Creek  </v>
          </cell>
        </row>
        <row r="61">
          <cell r="A61" t="str">
            <v xml:space="preserve">Cat Head  </v>
          </cell>
        </row>
        <row r="62">
          <cell r="A62" t="str">
            <v xml:space="preserve">Cathedral </v>
          </cell>
        </row>
        <row r="63">
          <cell r="A63" t="str">
            <v xml:space="preserve">Cecil  </v>
          </cell>
        </row>
        <row r="64">
          <cell r="A64" t="str">
            <v xml:space="preserve">Cessford Sand </v>
          </cell>
        </row>
        <row r="65">
          <cell r="A65" t="str">
            <v xml:space="preserve">Charlie Lake  </v>
          </cell>
        </row>
        <row r="66">
          <cell r="A66" t="str">
            <v xml:space="preserve">Chinchaga </v>
          </cell>
        </row>
        <row r="67">
          <cell r="A67" t="str">
            <v>Chinook</v>
          </cell>
        </row>
        <row r="68">
          <cell r="A68" t="str">
            <v xml:space="preserve">Chischa </v>
          </cell>
        </row>
        <row r="69">
          <cell r="A69" t="str">
            <v xml:space="preserve">Christina  </v>
          </cell>
        </row>
        <row r="70">
          <cell r="A70" t="str">
            <v xml:space="preserve">Chungo  </v>
          </cell>
        </row>
        <row r="71">
          <cell r="A71" t="str">
            <v xml:space="preserve">Clarke’s </v>
          </cell>
        </row>
        <row r="72">
          <cell r="A72" t="str">
            <v xml:space="preserve">Clearwater  </v>
          </cell>
        </row>
        <row r="73">
          <cell r="A73" t="str">
            <v xml:space="preserve">Colony Sand  </v>
          </cell>
        </row>
        <row r="74">
          <cell r="A74" t="str">
            <v xml:space="preserve">Colorado </v>
          </cell>
        </row>
        <row r="75">
          <cell r="A75" t="str">
            <v xml:space="preserve">Commotion </v>
          </cell>
        </row>
        <row r="76">
          <cell r="A76" t="str">
            <v xml:space="preserve">Contact Rapids </v>
          </cell>
        </row>
        <row r="77">
          <cell r="A77" t="str">
            <v xml:space="preserve">Cooking Lake  </v>
          </cell>
        </row>
        <row r="78">
          <cell r="A78" t="str">
            <v xml:space="preserve">Coplin  </v>
          </cell>
        </row>
        <row r="79">
          <cell r="A79" t="str">
            <v xml:space="preserve">Coronach  </v>
          </cell>
        </row>
        <row r="80">
          <cell r="A80" t="str">
            <v xml:space="preserve">Costigan  </v>
          </cell>
        </row>
        <row r="81">
          <cell r="A81" t="str">
            <v xml:space="preserve">Crossfield  </v>
          </cell>
        </row>
        <row r="82">
          <cell r="A82" t="str">
            <v xml:space="preserve">Crossfield Till </v>
          </cell>
        </row>
        <row r="83">
          <cell r="A83" t="str">
            <v xml:space="preserve">Cruiser </v>
          </cell>
        </row>
        <row r="84">
          <cell r="A84" t="str">
            <v xml:space="preserve">Crystal Clinobed </v>
          </cell>
        </row>
        <row r="85">
          <cell r="A85" t="str">
            <v xml:space="preserve">Cummings  </v>
          </cell>
        </row>
        <row r="86">
          <cell r="A86" t="str">
            <v xml:space="preserve">Cut Bank </v>
          </cell>
        </row>
        <row r="87">
          <cell r="A87" t="str">
            <v xml:space="preserve">Cutbank  </v>
          </cell>
        </row>
        <row r="88">
          <cell r="A88" t="str">
            <v>D-2 (Nisku Formation)</v>
          </cell>
        </row>
        <row r="89">
          <cell r="A89" t="str">
            <v>D-3 (Leduc Formation)</v>
          </cell>
        </row>
        <row r="90">
          <cell r="A90" t="str">
            <v xml:space="preserve">Dawson Bay  </v>
          </cell>
        </row>
        <row r="91">
          <cell r="A91" t="str">
            <v xml:space="preserve">Deadwood </v>
          </cell>
        </row>
        <row r="92">
          <cell r="A92" t="str">
            <v xml:space="preserve">Debolt </v>
          </cell>
        </row>
        <row r="93">
          <cell r="A93" t="str">
            <v>Del Bonita Gravels</v>
          </cell>
        </row>
        <row r="94">
          <cell r="A94" t="str">
            <v xml:space="preserve">Detrital  Beds </v>
          </cell>
        </row>
        <row r="95">
          <cell r="A95" t="str">
            <v xml:space="preserve">Deville  </v>
          </cell>
        </row>
        <row r="96">
          <cell r="A96" t="str">
            <v xml:space="preserve">Diaber  </v>
          </cell>
        </row>
        <row r="97">
          <cell r="A97" t="str">
            <v xml:space="preserve">Dina  </v>
          </cell>
        </row>
        <row r="98">
          <cell r="A98" t="str">
            <v xml:space="preserve">Dismal Rat </v>
          </cell>
        </row>
        <row r="99">
          <cell r="A99" t="str">
            <v xml:space="preserve">Dixonville  </v>
          </cell>
        </row>
        <row r="100">
          <cell r="A100" t="str">
            <v xml:space="preserve">Doe Creek </v>
          </cell>
        </row>
        <row r="101">
          <cell r="A101" t="str">
            <v xml:space="preserve">Doig </v>
          </cell>
        </row>
        <row r="102">
          <cell r="A102" t="str">
            <v xml:space="preserve">Dunedin </v>
          </cell>
        </row>
        <row r="103">
          <cell r="A103" t="str">
            <v>Dunlevy</v>
          </cell>
        </row>
        <row r="104">
          <cell r="A104" t="str">
            <v xml:space="preserve">Dunvegan </v>
          </cell>
        </row>
        <row r="105">
          <cell r="A105" t="str">
            <v xml:space="preserve">Duperow </v>
          </cell>
        </row>
        <row r="106">
          <cell r="A106" t="str">
            <v xml:space="preserve">Duvenay </v>
          </cell>
        </row>
        <row r="107">
          <cell r="A107" t="str">
            <v xml:space="preserve">Earlie </v>
          </cell>
        </row>
        <row r="108">
          <cell r="A108" t="str">
            <v xml:space="preserve">Edmonton  </v>
          </cell>
        </row>
        <row r="109">
          <cell r="A109" t="str">
            <v xml:space="preserve">Eldon  </v>
          </cell>
        </row>
        <row r="110">
          <cell r="A110" t="str">
            <v xml:space="preserve">Elk Point </v>
          </cell>
        </row>
        <row r="111">
          <cell r="A111" t="str">
            <v xml:space="preserve">Elko </v>
          </cell>
        </row>
        <row r="112">
          <cell r="A112" t="str">
            <v xml:space="preserve">Elkton  </v>
          </cell>
        </row>
        <row r="113">
          <cell r="A113" t="str">
            <v xml:space="preserve">Ellerslie  </v>
          </cell>
        </row>
        <row r="114">
          <cell r="A114" t="str">
            <v xml:space="preserve">Ellis </v>
          </cell>
        </row>
        <row r="115">
          <cell r="A115" t="str">
            <v xml:space="preserve">Ernestina Lake </v>
          </cell>
        </row>
        <row r="116">
          <cell r="A116" t="str">
            <v xml:space="preserve">Esterhazy  </v>
          </cell>
        </row>
        <row r="117">
          <cell r="A117" t="str">
            <v xml:space="preserve">Etherington  </v>
          </cell>
        </row>
        <row r="118">
          <cell r="A118" t="str">
            <v xml:space="preserve">Exshaw </v>
          </cell>
        </row>
        <row r="119">
          <cell r="A119" t="str">
            <v xml:space="preserve">Fairholme </v>
          </cell>
        </row>
        <row r="120">
          <cell r="A120" t="str">
            <v xml:space="preserve">Falher  </v>
          </cell>
        </row>
        <row r="121">
          <cell r="A121" t="str">
            <v xml:space="preserve">Fantasque </v>
          </cell>
        </row>
        <row r="122">
          <cell r="A122" t="str">
            <v xml:space="preserve">Fernie  </v>
          </cell>
        </row>
        <row r="123">
          <cell r="A123" t="str">
            <v xml:space="preserve">Finnegan </v>
          </cell>
        </row>
        <row r="124">
          <cell r="A124" t="str">
            <v xml:space="preserve">Firebag  </v>
          </cell>
        </row>
        <row r="125">
          <cell r="A125" t="str">
            <v xml:space="preserve">First Red Beds </v>
          </cell>
        </row>
        <row r="126">
          <cell r="A126" t="str">
            <v xml:space="preserve">First White Speckled </v>
          </cell>
        </row>
        <row r="127">
          <cell r="A127" t="str">
            <v xml:space="preserve">Foremost </v>
          </cell>
        </row>
        <row r="128">
          <cell r="A128" t="str">
            <v xml:space="preserve">Fort Simpson </v>
          </cell>
        </row>
        <row r="129">
          <cell r="A129" t="str">
            <v xml:space="preserve">Fort St. John </v>
          </cell>
        </row>
        <row r="130">
          <cell r="A130" t="str">
            <v xml:space="preserve">Fort Vermilion  </v>
          </cell>
        </row>
        <row r="131">
          <cell r="A131" t="str">
            <v xml:space="preserve">Frobisher Beds </v>
          </cell>
        </row>
        <row r="132">
          <cell r="A132" t="str">
            <v xml:space="preserve">Frobisher Evaporite </v>
          </cell>
        </row>
        <row r="133">
          <cell r="A133" t="str">
            <v>Frobisher-Alida Beds</v>
          </cell>
        </row>
        <row r="134">
          <cell r="A134" t="str">
            <v xml:space="preserve">Garbutt  </v>
          </cell>
        </row>
        <row r="135">
          <cell r="A135" t="str">
            <v xml:space="preserve">Gething  </v>
          </cell>
        </row>
        <row r="136">
          <cell r="A136" t="str">
            <v xml:space="preserve">Gilwood  </v>
          </cell>
        </row>
        <row r="137">
          <cell r="A137" t="str">
            <v xml:space="preserve">Gladstone  </v>
          </cell>
        </row>
        <row r="138">
          <cell r="A138" t="str">
            <v xml:space="preserve">Glauconitic </v>
          </cell>
        </row>
        <row r="139">
          <cell r="A139" t="str">
            <v xml:space="preserve">Gog  </v>
          </cell>
        </row>
        <row r="140">
          <cell r="A140" t="str">
            <v xml:space="preserve">Golata </v>
          </cell>
        </row>
        <row r="141">
          <cell r="A141" t="str">
            <v xml:space="preserve">Graminia  </v>
          </cell>
        </row>
        <row r="142">
          <cell r="A142" t="str">
            <v>Granite Wash</v>
          </cell>
        </row>
        <row r="143">
          <cell r="A143" t="str">
            <v xml:space="preserve">Gravelbourg </v>
          </cell>
        </row>
        <row r="144">
          <cell r="A144" t="str">
            <v>Grayling</v>
          </cell>
        </row>
        <row r="145">
          <cell r="A145" t="str">
            <v xml:space="preserve">Green Beds </v>
          </cell>
        </row>
        <row r="146">
          <cell r="A146" t="str">
            <v xml:space="preserve">Grey Beds </v>
          </cell>
        </row>
        <row r="147">
          <cell r="A147" t="str">
            <v xml:space="preserve">Grosmont  </v>
          </cell>
        </row>
        <row r="148">
          <cell r="A148" t="str">
            <v xml:space="preserve">Halfway </v>
          </cell>
        </row>
        <row r="149">
          <cell r="A149" t="str">
            <v>Hamilton Lake Sand</v>
          </cell>
        </row>
        <row r="150">
          <cell r="A150" t="str">
            <v xml:space="preserve">Harmon </v>
          </cell>
        </row>
        <row r="151">
          <cell r="A151" t="str">
            <v xml:space="preserve">Hastings Evaporite </v>
          </cell>
        </row>
        <row r="152">
          <cell r="A152" t="str">
            <v>Hastings-Frobisher Beds</v>
          </cell>
        </row>
        <row r="153">
          <cell r="A153" t="str">
            <v xml:space="preserve">Hay River </v>
          </cell>
        </row>
        <row r="154">
          <cell r="A154" t="str">
            <v>Hecla Beds</v>
          </cell>
        </row>
        <row r="155">
          <cell r="A155" t="str">
            <v>Heel and Toe</v>
          </cell>
        </row>
        <row r="156">
          <cell r="A156" t="str">
            <v xml:space="preserve">Herald  </v>
          </cell>
        </row>
        <row r="157">
          <cell r="A157" t="str">
            <v xml:space="preserve">Highwood  </v>
          </cell>
        </row>
        <row r="158">
          <cell r="A158" t="str">
            <v xml:space="preserve">Hondo  </v>
          </cell>
        </row>
        <row r="159">
          <cell r="A159" t="str">
            <v>Hoosier Clinobed</v>
          </cell>
        </row>
        <row r="160">
          <cell r="A160" t="str">
            <v>Horizontal Toe</v>
          </cell>
        </row>
        <row r="161">
          <cell r="A161" t="str">
            <v xml:space="preserve">Horn River </v>
          </cell>
        </row>
        <row r="162">
          <cell r="A162" t="str">
            <v xml:space="preserve">Hornbeck  </v>
          </cell>
        </row>
        <row r="163">
          <cell r="A163" t="str">
            <v xml:space="preserve">Horseshoe Canyon  </v>
          </cell>
        </row>
        <row r="164">
          <cell r="A164" t="str">
            <v xml:space="preserve">Inga  </v>
          </cell>
        </row>
        <row r="165">
          <cell r="A165" t="str">
            <v>Intermediate Casing Point</v>
          </cell>
        </row>
        <row r="166">
          <cell r="A166" t="str">
            <v xml:space="preserve">Ireton  </v>
          </cell>
        </row>
        <row r="167">
          <cell r="A167" t="str">
            <v xml:space="preserve">Jean Marie  </v>
          </cell>
        </row>
        <row r="168">
          <cell r="A168" t="str">
            <v xml:space="preserve">Joli Fou  </v>
          </cell>
        </row>
        <row r="169">
          <cell r="A169" t="str">
            <v xml:space="preserve">Judith River </v>
          </cell>
        </row>
        <row r="170">
          <cell r="A170" t="str">
            <v xml:space="preserve">Jumping Pound  </v>
          </cell>
        </row>
        <row r="171">
          <cell r="A171" t="str">
            <v xml:space="preserve">Kakisa </v>
          </cell>
        </row>
        <row r="172">
          <cell r="A172" t="str">
            <v xml:space="preserve">Kakwa  </v>
          </cell>
        </row>
        <row r="173">
          <cell r="A173" t="str">
            <v xml:space="preserve">Karr  </v>
          </cell>
        </row>
        <row r="174">
          <cell r="A174" t="str">
            <v xml:space="preserve">Kaskapau  </v>
          </cell>
        </row>
        <row r="175">
          <cell r="A175" t="str">
            <v xml:space="preserve">Keg River  </v>
          </cell>
        </row>
        <row r="176">
          <cell r="A176" t="str">
            <v xml:space="preserve">Kevin  </v>
          </cell>
        </row>
        <row r="177">
          <cell r="A177" t="str">
            <v>Kickoff Point</v>
          </cell>
        </row>
        <row r="178">
          <cell r="A178" t="str">
            <v xml:space="preserve">Kintla  </v>
          </cell>
        </row>
        <row r="179">
          <cell r="A179" t="str">
            <v xml:space="preserve">Kisbey </v>
          </cell>
        </row>
        <row r="180">
          <cell r="A180" t="str">
            <v>Kiskatinaw</v>
          </cell>
        </row>
        <row r="181">
          <cell r="A181" t="str">
            <v xml:space="preserve">Klua </v>
          </cell>
        </row>
        <row r="182">
          <cell r="A182" t="str">
            <v xml:space="preserve">Kneehills Tuft </v>
          </cell>
        </row>
        <row r="183">
          <cell r="A183" t="str">
            <v xml:space="preserve">Kootenai </v>
          </cell>
        </row>
        <row r="184">
          <cell r="A184" t="str">
            <v xml:space="preserve">Kootenay </v>
          </cell>
        </row>
        <row r="185">
          <cell r="A185" t="str">
            <v xml:space="preserve">Kotaneelee </v>
          </cell>
        </row>
        <row r="186">
          <cell r="A186" t="str">
            <v xml:space="preserve">Kotcho </v>
          </cell>
        </row>
        <row r="187">
          <cell r="A187" t="str">
            <v xml:space="preserve">Labiche </v>
          </cell>
        </row>
        <row r="188">
          <cell r="A188" t="str">
            <v xml:space="preserve">Lake Alma  </v>
          </cell>
        </row>
        <row r="189">
          <cell r="A189" t="str">
            <v xml:space="preserve">Lea Park </v>
          </cell>
        </row>
        <row r="190">
          <cell r="A190" t="str">
            <v xml:space="preserve">Leduc  </v>
          </cell>
        </row>
        <row r="191">
          <cell r="A191" t="str">
            <v xml:space="preserve">Liard  </v>
          </cell>
        </row>
        <row r="192">
          <cell r="A192" t="str">
            <v>Lloydminster</v>
          </cell>
        </row>
        <row r="193">
          <cell r="A193" t="str">
            <v xml:space="preserve">Lobstick  </v>
          </cell>
        </row>
        <row r="194">
          <cell r="A194" t="str">
            <v>Lochend Till</v>
          </cell>
        </row>
        <row r="195">
          <cell r="A195" t="str">
            <v xml:space="preserve">Lodgepole  </v>
          </cell>
        </row>
        <row r="196">
          <cell r="A196" t="str">
            <v xml:space="preserve">Lotsberg  </v>
          </cell>
        </row>
        <row r="197">
          <cell r="A197" t="str">
            <v>Lower Porous</v>
          </cell>
        </row>
        <row r="198">
          <cell r="A198" t="str">
            <v xml:space="preserve">Lyleton  </v>
          </cell>
        </row>
        <row r="199">
          <cell r="A199" t="str">
            <v xml:space="preserve">Lynx  </v>
          </cell>
        </row>
        <row r="200">
          <cell r="A200" t="str">
            <v xml:space="preserve">Madison </v>
          </cell>
        </row>
        <row r="201">
          <cell r="A201" t="str">
            <v xml:space="preserve">Magrath  </v>
          </cell>
        </row>
        <row r="202">
          <cell r="A202" t="str">
            <v xml:space="preserve">Majeau Lake  </v>
          </cell>
        </row>
        <row r="203">
          <cell r="A203" t="str">
            <v xml:space="preserve">Mannville </v>
          </cell>
        </row>
        <row r="204">
          <cell r="A204" t="str">
            <v xml:space="preserve">Manyberries  </v>
          </cell>
        </row>
        <row r="205">
          <cell r="A205" t="str">
            <v xml:space="preserve">Mattson </v>
          </cell>
        </row>
        <row r="206">
          <cell r="A206" t="str">
            <v xml:space="preserve">McLaren  </v>
          </cell>
        </row>
        <row r="207">
          <cell r="A207" t="str">
            <v xml:space="preserve">McMurray  </v>
          </cell>
        </row>
        <row r="208">
          <cell r="A208" t="str">
            <v xml:space="preserve">Medicine Hat </v>
          </cell>
        </row>
        <row r="209">
          <cell r="A209" t="str">
            <v xml:space="preserve">Medicine Lodge  </v>
          </cell>
        </row>
        <row r="210">
          <cell r="A210" t="str">
            <v xml:space="preserve">Meekwap  </v>
          </cell>
        </row>
        <row r="211">
          <cell r="A211" t="str">
            <v xml:space="preserve">Melita </v>
          </cell>
        </row>
        <row r="212">
          <cell r="A212" t="str">
            <v>Midale Beds</v>
          </cell>
        </row>
        <row r="213">
          <cell r="A213" t="str">
            <v xml:space="preserve">Midale Evaporite </v>
          </cell>
        </row>
        <row r="214">
          <cell r="A214" t="str">
            <v>Middle Dense</v>
          </cell>
        </row>
        <row r="215">
          <cell r="A215" t="str">
            <v xml:space="preserve">Miette  </v>
          </cell>
        </row>
        <row r="216">
          <cell r="A216" t="str">
            <v xml:space="preserve">Mildred  </v>
          </cell>
        </row>
        <row r="217">
          <cell r="A217" t="str">
            <v xml:space="preserve">Milk River </v>
          </cell>
        </row>
        <row r="218">
          <cell r="A218" t="str">
            <v xml:space="preserve">Misinchinka </v>
          </cell>
        </row>
        <row r="219">
          <cell r="A219" t="str">
            <v xml:space="preserve">Mission Canyon  </v>
          </cell>
        </row>
        <row r="220">
          <cell r="A220" t="str">
            <v xml:space="preserve">Montana </v>
          </cell>
        </row>
        <row r="221">
          <cell r="A221" t="str">
            <v xml:space="preserve">Monteith  </v>
          </cell>
        </row>
        <row r="222">
          <cell r="A222" t="str">
            <v xml:space="preserve">Montney </v>
          </cell>
        </row>
        <row r="223">
          <cell r="A223" t="str">
            <v xml:space="preserve">Moosebar  </v>
          </cell>
        </row>
        <row r="224">
          <cell r="A224" t="str">
            <v xml:space="preserve">Moulton </v>
          </cell>
        </row>
        <row r="225">
          <cell r="A225" t="str">
            <v xml:space="preserve">Mount Head </v>
          </cell>
        </row>
        <row r="226">
          <cell r="A226" t="str">
            <v xml:space="preserve">Mountain Park </v>
          </cell>
        </row>
        <row r="227">
          <cell r="A227" t="str">
            <v xml:space="preserve">Mowitch </v>
          </cell>
        </row>
        <row r="228">
          <cell r="A228" t="str">
            <v xml:space="preserve">Muskeg </v>
          </cell>
        </row>
        <row r="229">
          <cell r="A229" t="str">
            <v xml:space="preserve">Muskiki  </v>
          </cell>
        </row>
        <row r="230">
          <cell r="A230" t="str">
            <v xml:space="preserve">Muskwa </v>
          </cell>
        </row>
        <row r="231">
          <cell r="A231" t="str">
            <v xml:space="preserve">Musreau  </v>
          </cell>
        </row>
        <row r="232">
          <cell r="A232" t="str">
            <v xml:space="preserve">Nahanni </v>
          </cell>
        </row>
        <row r="233">
          <cell r="A233" t="str">
            <v xml:space="preserve">Nancy  </v>
          </cell>
        </row>
        <row r="234">
          <cell r="A234" t="str">
            <v xml:space="preserve">Nicol Creek  </v>
          </cell>
        </row>
        <row r="235">
          <cell r="A235" t="str">
            <v xml:space="preserve">Nikanassin </v>
          </cell>
        </row>
        <row r="236">
          <cell r="A236" t="str">
            <v xml:space="preserve">Nisku  </v>
          </cell>
        </row>
        <row r="237">
          <cell r="A237" t="str">
            <v xml:space="preserve">Nordegg  </v>
          </cell>
        </row>
        <row r="238">
          <cell r="A238" t="str">
            <v xml:space="preserve">Normandville  </v>
          </cell>
        </row>
        <row r="239">
          <cell r="A239" t="str">
            <v xml:space="preserve">North Pine  </v>
          </cell>
        </row>
        <row r="240">
          <cell r="A240" t="str">
            <v xml:space="preserve">Nosehill  </v>
          </cell>
        </row>
        <row r="241">
          <cell r="A241" t="str">
            <v xml:space="preserve">Notikewin  </v>
          </cell>
        </row>
        <row r="242">
          <cell r="A242" t="str">
            <v xml:space="preserve">Oldman </v>
          </cell>
        </row>
        <row r="243">
          <cell r="A243" t="str">
            <v xml:space="preserve">Opabin  </v>
          </cell>
        </row>
        <row r="244">
          <cell r="A244" t="str">
            <v xml:space="preserve">Ostracod Beds </v>
          </cell>
        </row>
        <row r="245">
          <cell r="A245" t="str">
            <v xml:space="preserve">Otter Park  </v>
          </cell>
        </row>
        <row r="246">
          <cell r="A246" t="str">
            <v xml:space="preserve">Paddy  </v>
          </cell>
        </row>
        <row r="247">
          <cell r="A247" t="str">
            <v xml:space="preserve">Pakowki </v>
          </cell>
        </row>
        <row r="248">
          <cell r="A248" t="str">
            <v>Pakowki Drift</v>
          </cell>
        </row>
        <row r="249">
          <cell r="A249" t="str">
            <v xml:space="preserve">Palliser </v>
          </cell>
        </row>
        <row r="250">
          <cell r="A250" t="str">
            <v>Paper Shale</v>
          </cell>
        </row>
        <row r="251">
          <cell r="A251" t="str">
            <v xml:space="preserve">Pardonet  </v>
          </cell>
        </row>
        <row r="252">
          <cell r="A252" t="str">
            <v xml:space="preserve">Passage Beds </v>
          </cell>
        </row>
        <row r="253">
          <cell r="A253" t="str">
            <v xml:space="preserve">Peace River  </v>
          </cell>
        </row>
        <row r="254">
          <cell r="A254" t="str">
            <v xml:space="preserve">Peechee  </v>
          </cell>
        </row>
        <row r="255">
          <cell r="A255" t="str">
            <v xml:space="preserve">Pekisko  </v>
          </cell>
        </row>
        <row r="256">
          <cell r="A256" t="str">
            <v xml:space="preserve">Pelican  </v>
          </cell>
        </row>
        <row r="257">
          <cell r="A257" t="str">
            <v xml:space="preserve">Pembina River  </v>
          </cell>
        </row>
        <row r="258">
          <cell r="A258" t="str">
            <v xml:space="preserve">Pine Point  </v>
          </cell>
        </row>
        <row r="259">
          <cell r="A259" t="str">
            <v xml:space="preserve">Poker Chip  </v>
          </cell>
        </row>
        <row r="260">
          <cell r="A260" t="str">
            <v xml:space="preserve">Potlatch  </v>
          </cell>
        </row>
        <row r="261">
          <cell r="A261" t="str">
            <v xml:space="preserve">Pouce Coupe </v>
          </cell>
        </row>
        <row r="262">
          <cell r="A262" t="str">
            <v xml:space="preserve">Prairie Evaporite </v>
          </cell>
        </row>
        <row r="263">
          <cell r="A263" t="str">
            <v xml:space="preserve">Presqu’ile </v>
          </cell>
        </row>
        <row r="264">
          <cell r="A264" t="str">
            <v xml:space="preserve">Provost </v>
          </cell>
        </row>
        <row r="265">
          <cell r="A265" t="str">
            <v xml:space="preserve">Puskwaskau  </v>
          </cell>
        </row>
        <row r="266">
          <cell r="A266" t="str">
            <v xml:space="preserve">Quaternary </v>
          </cell>
        </row>
        <row r="267">
          <cell r="A267" t="str">
            <v xml:space="preserve">Queensdale Lime </v>
          </cell>
        </row>
        <row r="268">
          <cell r="A268" t="str">
            <v xml:space="preserve">Rainbow  </v>
          </cell>
        </row>
        <row r="269">
          <cell r="A269" t="str">
            <v xml:space="preserve">Ram  </v>
          </cell>
        </row>
        <row r="270">
          <cell r="A270" t="str">
            <v>Ratcliffe Beds</v>
          </cell>
        </row>
        <row r="271">
          <cell r="A271" t="str">
            <v xml:space="preserve">Ratner  </v>
          </cell>
        </row>
        <row r="272">
          <cell r="A272" t="str">
            <v xml:space="preserve">Raven River  </v>
          </cell>
        </row>
        <row r="273">
          <cell r="A273" t="str">
            <v xml:space="preserve">Ravenscrag </v>
          </cell>
        </row>
        <row r="274">
          <cell r="A274" t="str">
            <v xml:space="preserve">Red River  </v>
          </cell>
        </row>
        <row r="275">
          <cell r="A275" t="str">
            <v xml:space="preserve">Red Speck Zone </v>
          </cell>
        </row>
        <row r="276">
          <cell r="A276" t="str">
            <v xml:space="preserve">Redknife  </v>
          </cell>
        </row>
        <row r="277">
          <cell r="A277" t="str">
            <v xml:space="preserve">Reston </v>
          </cell>
        </row>
        <row r="278">
          <cell r="A278" t="str">
            <v xml:space="preserve">Rex Sand </v>
          </cell>
        </row>
        <row r="279">
          <cell r="A279" t="str">
            <v xml:space="preserve">Ribbon Creek  </v>
          </cell>
        </row>
        <row r="280">
          <cell r="A280" t="str">
            <v xml:space="preserve">Ribstone Creek  </v>
          </cell>
        </row>
        <row r="281">
          <cell r="A281" t="str">
            <v xml:space="preserve">Ricinus  </v>
          </cell>
        </row>
        <row r="282">
          <cell r="A282" t="str">
            <v xml:space="preserve">Rierdon  </v>
          </cell>
        </row>
        <row r="283">
          <cell r="A283" t="str">
            <v xml:space="preserve">Rock Creek  </v>
          </cell>
        </row>
        <row r="284">
          <cell r="A284" t="str">
            <v xml:space="preserve">Roseray </v>
          </cell>
        </row>
        <row r="285">
          <cell r="A285" t="str">
            <v xml:space="preserve">Rosevear </v>
          </cell>
        </row>
        <row r="286">
          <cell r="A286" t="str">
            <v xml:space="preserve">Rundle </v>
          </cell>
        </row>
        <row r="287">
          <cell r="A287" t="str">
            <v xml:space="preserve">Saddle Hills </v>
          </cell>
        </row>
        <row r="288">
          <cell r="A288" t="str">
            <v xml:space="preserve">Salter  </v>
          </cell>
        </row>
        <row r="289">
          <cell r="A289" t="str">
            <v xml:space="preserve">Sassenach </v>
          </cell>
        </row>
        <row r="290">
          <cell r="A290" t="str">
            <v>Sawridge</v>
          </cell>
        </row>
        <row r="291">
          <cell r="A291" t="str">
            <v xml:space="preserve">Sawtooth  </v>
          </cell>
        </row>
        <row r="292">
          <cell r="A292" t="str">
            <v xml:space="preserve">Scatter  </v>
          </cell>
        </row>
        <row r="293">
          <cell r="A293" t="str">
            <v xml:space="preserve">Schooler Creek </v>
          </cell>
        </row>
        <row r="294">
          <cell r="A294" t="str">
            <v xml:space="preserve">Scollard </v>
          </cell>
        </row>
        <row r="295">
          <cell r="A295" t="str">
            <v xml:space="preserve">Second Red Bed </v>
          </cell>
        </row>
        <row r="296">
          <cell r="A296" t="str">
            <v xml:space="preserve">Second White Speckled  </v>
          </cell>
        </row>
        <row r="297">
          <cell r="A297" t="str">
            <v xml:space="preserve">Second White Specks </v>
          </cell>
        </row>
        <row r="298">
          <cell r="A298" t="str">
            <v xml:space="preserve">Selkirk  </v>
          </cell>
        </row>
        <row r="299">
          <cell r="A299" t="str">
            <v xml:space="preserve">Septimus  </v>
          </cell>
        </row>
        <row r="300">
          <cell r="A300" t="str">
            <v xml:space="preserve">Shaftesbury  </v>
          </cell>
        </row>
        <row r="301">
          <cell r="A301" t="str">
            <v xml:space="preserve">Shaunavon </v>
          </cell>
        </row>
        <row r="302">
          <cell r="A302" t="str">
            <v xml:space="preserve">Shunda  </v>
          </cell>
        </row>
        <row r="303">
          <cell r="A303" t="str">
            <v>Sidetrack Leg #1</v>
          </cell>
        </row>
        <row r="304">
          <cell r="A304" t="str">
            <v>Sidetrack Leg #2</v>
          </cell>
        </row>
        <row r="305">
          <cell r="A305" t="str">
            <v>Sidetrack Leg #3</v>
          </cell>
        </row>
        <row r="306">
          <cell r="A306" t="str">
            <v>Sidetrack Leg #4</v>
          </cell>
        </row>
        <row r="307">
          <cell r="A307" t="str">
            <v xml:space="preserve">Sikanni  </v>
          </cell>
        </row>
        <row r="308">
          <cell r="A308" t="str">
            <v xml:space="preserve">Simla </v>
          </cell>
        </row>
        <row r="309">
          <cell r="A309" t="str">
            <v>Sinclair</v>
          </cell>
        </row>
        <row r="310">
          <cell r="A310" t="str">
            <v xml:space="preserve">Siphon  </v>
          </cell>
        </row>
        <row r="311">
          <cell r="A311" t="str">
            <v xml:space="preserve">Slave Point </v>
          </cell>
        </row>
        <row r="312">
          <cell r="A312" t="str">
            <v xml:space="preserve">Souris River  </v>
          </cell>
        </row>
        <row r="313">
          <cell r="A313" t="str">
            <v xml:space="preserve">Souris Valley Beds </v>
          </cell>
        </row>
        <row r="314">
          <cell r="A314" t="str">
            <v xml:space="preserve">Southesk  </v>
          </cell>
        </row>
        <row r="315">
          <cell r="A315" t="str">
            <v xml:space="preserve">Sparky Sand </v>
          </cell>
        </row>
        <row r="316">
          <cell r="A316" t="str">
            <v xml:space="preserve">Spearfish </v>
          </cell>
        </row>
        <row r="317">
          <cell r="A317" t="str">
            <v xml:space="preserve">Spinney Hill </v>
          </cell>
        </row>
        <row r="318">
          <cell r="A318" t="str">
            <v xml:space="preserve">Spirit River  </v>
          </cell>
        </row>
        <row r="319">
          <cell r="A319" t="str">
            <v xml:space="preserve">Springburn  </v>
          </cell>
        </row>
        <row r="320">
          <cell r="A320" t="str">
            <v xml:space="preserve">St. Mary River </v>
          </cell>
        </row>
        <row r="321">
          <cell r="A321" t="str">
            <v xml:space="preserve">St. Walburg </v>
          </cell>
        </row>
        <row r="322">
          <cell r="A322" t="str">
            <v>Steen River</v>
          </cell>
        </row>
        <row r="323">
          <cell r="A323" t="str">
            <v xml:space="preserve">Stoddart </v>
          </cell>
        </row>
        <row r="324">
          <cell r="A324" t="str">
            <v xml:space="preserve">Stonewall </v>
          </cell>
        </row>
        <row r="325">
          <cell r="A325" t="str">
            <v xml:space="preserve">Stony Mountain  </v>
          </cell>
        </row>
        <row r="326">
          <cell r="A326" t="str">
            <v xml:space="preserve">Stoughton  </v>
          </cell>
        </row>
        <row r="327">
          <cell r="A327" t="str">
            <v xml:space="preserve">Sunburst  </v>
          </cell>
        </row>
        <row r="328">
          <cell r="A328" t="str">
            <v xml:space="preserve">Sunkay </v>
          </cell>
        </row>
        <row r="329">
          <cell r="A329" t="str">
            <v>Surface Point</v>
          </cell>
        </row>
        <row r="330">
          <cell r="A330" t="str">
            <v xml:space="preserve">Swan Hills  </v>
          </cell>
        </row>
        <row r="331">
          <cell r="A331" t="str">
            <v xml:space="preserve">Swift  </v>
          </cell>
        </row>
        <row r="332">
          <cell r="A332" t="str">
            <v xml:space="preserve">Taber </v>
          </cell>
        </row>
        <row r="333">
          <cell r="A333" t="str">
            <v>Tangent</v>
          </cell>
        </row>
        <row r="334">
          <cell r="A334" t="str">
            <v xml:space="preserve">Tathlina  </v>
          </cell>
        </row>
        <row r="335">
          <cell r="A335" t="str">
            <v xml:space="preserve">Taylor Flat </v>
          </cell>
        </row>
        <row r="336">
          <cell r="A336" t="str">
            <v>TD Leg #1</v>
          </cell>
        </row>
        <row r="337">
          <cell r="A337" t="str">
            <v>TD Leg #2</v>
          </cell>
        </row>
        <row r="338">
          <cell r="A338" t="str">
            <v>TD Leg #3</v>
          </cell>
        </row>
        <row r="339">
          <cell r="A339" t="str">
            <v>TD Leg #4</v>
          </cell>
        </row>
        <row r="340">
          <cell r="A340" t="str">
            <v xml:space="preserve">Tetcho </v>
          </cell>
        </row>
        <row r="341">
          <cell r="A341" t="str">
            <v xml:space="preserve">Tetsa </v>
          </cell>
        </row>
        <row r="342">
          <cell r="A342" t="str">
            <v xml:space="preserve">Thelma  </v>
          </cell>
        </row>
        <row r="343">
          <cell r="A343" t="str">
            <v xml:space="preserve">Three Forks </v>
          </cell>
        </row>
        <row r="344">
          <cell r="A344" t="str">
            <v>Tilston Beds</v>
          </cell>
        </row>
        <row r="345">
          <cell r="A345" t="str">
            <v xml:space="preserve">Toad  </v>
          </cell>
        </row>
        <row r="346">
          <cell r="A346" t="str">
            <v xml:space="preserve">Torquay  </v>
          </cell>
        </row>
        <row r="347">
          <cell r="A347" t="str">
            <v>Total Depth</v>
          </cell>
        </row>
        <row r="348">
          <cell r="A348" t="str">
            <v xml:space="preserve">Trout River </v>
          </cell>
        </row>
        <row r="349">
          <cell r="A349" t="str">
            <v xml:space="preserve">Turner Valley  </v>
          </cell>
        </row>
        <row r="350">
          <cell r="A350" t="str">
            <v>Upper Porous</v>
          </cell>
        </row>
        <row r="351">
          <cell r="A351" t="str">
            <v xml:space="preserve">Valhalla (Cutbank) Sand </v>
          </cell>
        </row>
        <row r="352">
          <cell r="A352" t="str">
            <v xml:space="preserve">Vanguard  </v>
          </cell>
        </row>
        <row r="353">
          <cell r="A353" t="str">
            <v xml:space="preserve">Vermillion  </v>
          </cell>
        </row>
        <row r="354">
          <cell r="A354" t="str">
            <v xml:space="preserve">Viking  </v>
          </cell>
        </row>
        <row r="355">
          <cell r="A355" t="str">
            <v xml:space="preserve">Viking Chert </v>
          </cell>
        </row>
        <row r="356">
          <cell r="A356" t="str">
            <v>Viking Conglomerate</v>
          </cell>
        </row>
        <row r="357">
          <cell r="A357" t="str">
            <v xml:space="preserve">Vimy </v>
          </cell>
        </row>
        <row r="358">
          <cell r="A358" t="str">
            <v xml:space="preserve">Virden  </v>
          </cell>
        </row>
        <row r="359">
          <cell r="A359" t="str">
            <v xml:space="preserve">Virgelle  </v>
          </cell>
        </row>
        <row r="360">
          <cell r="A360" t="str">
            <v xml:space="preserve">Virginia Hills  </v>
          </cell>
        </row>
        <row r="361">
          <cell r="A361" t="str">
            <v xml:space="preserve">Wabamun  </v>
          </cell>
        </row>
        <row r="362">
          <cell r="A362" t="str">
            <v xml:space="preserve">Wabasca  </v>
          </cell>
        </row>
        <row r="363">
          <cell r="A363" t="str">
            <v xml:space="preserve">Wabiskaw  </v>
          </cell>
        </row>
        <row r="364">
          <cell r="A364" t="str">
            <v xml:space="preserve">Wapiabi  </v>
          </cell>
        </row>
        <row r="365">
          <cell r="A365" t="str">
            <v xml:space="preserve">Wapiti </v>
          </cell>
        </row>
        <row r="366">
          <cell r="A366" t="str">
            <v xml:space="preserve">Waseca Sand </v>
          </cell>
        </row>
        <row r="367">
          <cell r="A367" t="str">
            <v xml:space="preserve">Waskahigan  </v>
          </cell>
        </row>
        <row r="368">
          <cell r="A368" t="str">
            <v xml:space="preserve">Waterfowl </v>
          </cell>
        </row>
        <row r="369">
          <cell r="A369" t="str">
            <v xml:space="preserve">Waterways </v>
          </cell>
        </row>
        <row r="370">
          <cell r="A370" t="str">
            <v xml:space="preserve">Watrous </v>
          </cell>
        </row>
        <row r="371">
          <cell r="A371" t="str">
            <v xml:space="preserve">Watt Mountain </v>
          </cell>
        </row>
        <row r="372">
          <cell r="A372" t="str">
            <v>White Speckled Shale</v>
          </cell>
        </row>
        <row r="373">
          <cell r="A373" t="str">
            <v xml:space="preserve">Whitehorse  </v>
          </cell>
        </row>
        <row r="374">
          <cell r="A374" t="str">
            <v xml:space="preserve">Wilder  </v>
          </cell>
        </row>
        <row r="375">
          <cell r="A375" t="str">
            <v xml:space="preserve">Willmar Lime  </v>
          </cell>
        </row>
        <row r="376">
          <cell r="A376" t="str">
            <v xml:space="preserve">Wilrich  </v>
          </cell>
        </row>
        <row r="377">
          <cell r="A377" t="str">
            <v xml:space="preserve">Winnipeg </v>
          </cell>
        </row>
        <row r="378">
          <cell r="A378" t="str">
            <v xml:space="preserve">Winnipegosis  </v>
          </cell>
        </row>
        <row r="379">
          <cell r="A379" t="str">
            <v xml:space="preserve">Winterburn </v>
          </cell>
        </row>
        <row r="380">
          <cell r="A380" t="str">
            <v xml:space="preserve">Wolf Lake  </v>
          </cell>
        </row>
        <row r="381">
          <cell r="A381" t="str">
            <v xml:space="preserve">Woodbend </v>
          </cell>
        </row>
        <row r="382">
          <cell r="A382" t="str">
            <v xml:space="preserve">Worsley   </v>
          </cell>
        </row>
        <row r="383">
          <cell r="A383" t="str">
            <v xml:space="preserve">Yeoman  </v>
          </cell>
        </row>
        <row r="384">
          <cell r="A384" t="str">
            <v xml:space="preserve">Zama </v>
          </cell>
        </row>
        <row r="385">
          <cell r="A385" t="str">
            <v xml:space="preserve">Zeta Lake  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:r="http://schemas.openxmlformats.org/officeDocument/2006/relationships" xmlns="http://schemas.openxmlformats.org/spreadsheetml/2006/main">
  <externalBook r:id="rId1">
    <sheetNames>
      <sheetName val="Basic"/>
      <sheetName val="Leg 1"/>
      <sheetName val="Leg 2"/>
      <sheetName val="Leg 3"/>
      <sheetName val="Leg 4"/>
      <sheetName val="Leg 5"/>
      <sheetName val="Leg 6"/>
      <sheetName val="Leg 6 "/>
      <sheetName val="Leg 9"/>
      <sheetName val="Leg 7"/>
      <sheetName val="Leg 8"/>
      <sheetName val="TARGETS"/>
      <sheetName val="Plan View"/>
      <sheetName val="TVD vs VS"/>
      <sheetName val="Interpolate"/>
      <sheetName val="Circle plotter"/>
      <sheetName val="Quick calc MD_TVD"/>
      <sheetName val="Annotation"/>
    </sheetNames>
    <sheetDataSet>
      <sheetData sheetId="0" refreshError="1">
        <row r="6">
          <cell r="B6">
            <v>697.4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.xml><?xml version="1.0" encoding="utf-8"?>
<externalLink xmlns:r="http://schemas.openxmlformats.org/officeDocument/2006/relationships" xmlns="http://schemas.openxmlformats.org/spreadsheetml/2006/main">
  <externalBook r:id="rId1">
    <sheetNames>
      <sheetName val="Well Data"/>
      <sheetName val="Tops (Hz)"/>
      <sheetName val="Bit"/>
      <sheetName val="Target &amp; Lateral Leg #1"/>
      <sheetName val="Target &amp; Lateral Leg #2"/>
      <sheetName val="Target &amp; Lateral Leg #3"/>
      <sheetName val="Target &amp; Lateral Leg #4"/>
      <sheetName val="Target &amp; Lateral Leg #5"/>
      <sheetName val="Target &amp; Lateral Leg #6"/>
      <sheetName val="Target &amp; Lateral Leg #7"/>
      <sheetName val="Target &amp; Lateral Leg #8"/>
      <sheetName val="Target &amp; Lateral Leg #9"/>
      <sheetName val="Target &amp; Lateral Leg #10"/>
      <sheetName val="Reservoir Quality Log"/>
      <sheetName val="Porosity Log"/>
      <sheetName val="Drilling Curve"/>
      <sheetName val="Surveys"/>
      <sheetName val="Daily"/>
      <sheetName val="Dev. surveys"/>
      <sheetName val="Logging Report"/>
      <sheetName val="Core Recovery Report"/>
      <sheetName val="Core Description Report"/>
      <sheetName val="WL_xxxxxx-xxx-xx-xx-xxx-xxWx-00"/>
    </sheetNames>
    <definedNames>
      <definedName name="AddLogg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RPS">
      <a:dk1>
        <a:srgbClr val="777A80"/>
      </a:dk1>
      <a:lt1>
        <a:srgbClr val="D7D8D6"/>
      </a:lt1>
      <a:dk2>
        <a:srgbClr val="BEB7B3"/>
      </a:dk2>
      <a:lt2>
        <a:srgbClr val="E1DEDB"/>
      </a:lt2>
      <a:accent1>
        <a:srgbClr val="C4D82E"/>
      </a:accent1>
      <a:accent2>
        <a:srgbClr val="71004B"/>
      </a:accent2>
      <a:accent3>
        <a:srgbClr val="00B18F"/>
      </a:accent3>
      <a:accent4>
        <a:srgbClr val="FCDD6A"/>
      </a:accent4>
      <a:accent5>
        <a:srgbClr val="64CBE8"/>
      </a:accent5>
      <a:accent6>
        <a:srgbClr val="4B2884"/>
      </a:accent6>
      <a:hlink>
        <a:srgbClr val="D8D8D8"/>
      </a:hlink>
      <a:folHlink>
        <a:srgbClr val="D8D8D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7.vml" Id="anysvml" /></Relationships>
</file>

<file path=xl/worksheets/_rels/sheet10.xml.rels><Relationships xmlns="http://schemas.openxmlformats.org/package/2006/relationships"><Relationship Type="http://schemas.openxmlformats.org/officeDocument/2006/relationships/vmlDrawing" Target="/xl/drawings/vmlDrawing8.vml" Id="anysvml" /></Relationships>
</file>

<file path=xl/worksheets/_rels/sheet11.xml.rels><Relationships xmlns="http://schemas.openxmlformats.org/package/2006/relationships"><Relationship Type="http://schemas.openxmlformats.org/officeDocument/2006/relationships/vmlDrawing" Target="/xl/drawings/vmlDrawing9.vml" Id="anysvml" /></Relationships>
</file>

<file path=xl/worksheets/_rels/sheet13.xml.rels><Relationships xmlns="http://schemas.openxmlformats.org/package/2006/relationships"><Relationship Type="http://schemas.openxmlformats.org/officeDocument/2006/relationships/vmlDrawing" Target="/xl/drawings/vmlDrawing10.vml" Id="anysvml" /></Relationships>
</file>

<file path=xl/worksheets/_rels/sheet14.xml.rels><Relationships xmlns="http://schemas.openxmlformats.org/package/2006/relationships"><Relationship Type="http://schemas.openxmlformats.org/officeDocument/2006/relationships/vmlDrawing" Target="/xl/drawings/vmlDrawing11.vml" Id="anysvml" /></Relationships>
</file>

<file path=xl/worksheets/_rels/sheet15.xml.rels><Relationships xmlns="http://schemas.openxmlformats.org/package/2006/relationships"><Relationship Type="http://schemas.openxmlformats.org/officeDocument/2006/relationships/vmlDrawing" Target="/xl/drawings/vmlDrawing12.vml" Id="anysvml" 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13.vml" Id="anysvml" /></Relationships>
</file>

<file path=xl/worksheets/_rels/sheet18.xml.rels><Relationships xmlns="http://schemas.openxmlformats.org/package/2006/relationships"><Relationship Type="http://schemas.openxmlformats.org/officeDocument/2006/relationships/vmlDrawing" Target="/xl/drawings/vmlDrawing1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Well_Data">
    <outlinePr summaryBelow="1" summaryRight="1"/>
    <pageSetUpPr/>
  </sheetPr>
  <dimension ref="A1:K107"/>
  <sheetViews>
    <sheetView tabSelected="1" topLeftCell="A67" zoomScale="130" zoomScaleNormal="130" zoomScaleSheetLayoutView="100" workbookViewId="0">
      <selection activeCell="B53" sqref="B53:C53"/>
    </sheetView>
  </sheetViews>
  <sheetFormatPr baseColWidth="8" defaultColWidth="9.140625" defaultRowHeight="14.25"/>
  <cols>
    <col width="23.42578125" customWidth="1" style="7" min="1" max="1"/>
    <col width="9.7109375" customWidth="1" style="7" min="2" max="3"/>
    <col width="7.42578125" customWidth="1" style="7" min="4" max="4"/>
    <col width="10.7109375" bestFit="1" customWidth="1" style="7" min="5" max="5"/>
    <col width="9.7109375" customWidth="1" style="7" min="6" max="6"/>
    <col width="13.140625" customWidth="1" style="7" min="7" max="7"/>
    <col width="9.140625" customWidth="1" style="7" min="8" max="16384"/>
  </cols>
  <sheetData>
    <row r="1" ht="23.25" customHeight="1" s="220">
      <c r="A1" s="348" t="inlineStr">
        <is>
          <t>WELL DATA SUMMARY</t>
        </is>
      </c>
    </row>
    <row r="2" ht="23.25" customFormat="1" customHeight="1" s="241">
      <c r="A2" s="352" t="n"/>
      <c r="H2" s="241" t="n"/>
      <c r="I2" s="241" t="n"/>
      <c r="J2" s="241" t="n"/>
      <c r="K2" s="241" t="n"/>
    </row>
    <row r="3" ht="23.25" customFormat="1" customHeight="1" s="241">
      <c r="A3" s="439" t="inlineStr">
        <is>
          <t>**Please do not add or remove any columns or rows**</t>
        </is>
      </c>
      <c r="H3" s="241" t="n"/>
      <c r="I3" s="241" t="n"/>
      <c r="J3" s="241" t="n"/>
      <c r="K3" s="241" t="n"/>
    </row>
    <row r="4" ht="23.25" customFormat="1" customHeight="1" s="241">
      <c r="A4" s="352" t="n"/>
      <c r="H4" s="241" t="n"/>
      <c r="I4" s="241" t="n"/>
      <c r="J4" s="241" t="n"/>
      <c r="K4" s="241" t="n"/>
    </row>
    <row r="5" customFormat="1" s="20">
      <c r="A5" s="349" t="inlineStr">
        <is>
          <t>NAME OF RPS CONSULTANT(S) ON WELL</t>
        </is>
      </c>
      <c r="B5" s="506" t="n"/>
      <c r="C5" s="506" t="n"/>
      <c r="D5" s="506" t="n"/>
      <c r="E5" s="506" t="n"/>
      <c r="F5" s="506" t="n"/>
      <c r="G5" s="506" t="n"/>
      <c r="H5" s="20" t="n"/>
      <c r="I5" s="20" t="n"/>
      <c r="J5" s="20" t="n"/>
      <c r="K5" s="20" t="n"/>
    </row>
    <row r="6" ht="23.25" customFormat="1" customHeight="1" s="241">
      <c r="A6" s="118" t="inlineStr">
        <is>
          <t>Name &amp; Designation(s)</t>
        </is>
      </c>
      <c r="B6" s="354" t="inlineStr">
        <is>
          <t>Geo 1</t>
        </is>
      </c>
      <c r="C6" s="507" t="n"/>
      <c r="D6" s="507" t="n"/>
      <c r="E6" s="507" t="n"/>
      <c r="F6" s="507" t="n"/>
      <c r="G6" s="507" t="n"/>
      <c r="H6" s="241" t="n"/>
      <c r="I6" s="241" t="n"/>
      <c r="J6" s="241" t="n"/>
      <c r="K6" s="241" t="n"/>
    </row>
    <row r="7" ht="23.25" customFormat="1" customHeight="1" s="241">
      <c r="A7" s="36" t="inlineStr">
        <is>
          <t>Name &amp; Designation(s)</t>
        </is>
      </c>
      <c r="B7" s="355" t="inlineStr">
        <is>
          <t>Geo 2</t>
        </is>
      </c>
      <c r="C7" s="225" t="n"/>
      <c r="D7" s="225" t="n"/>
      <c r="E7" s="225" t="n"/>
      <c r="F7" s="225" t="n"/>
      <c r="G7" s="225" t="n"/>
      <c r="H7" s="241" t="n"/>
      <c r="I7" s="241" t="n"/>
      <c r="J7" s="241" t="n"/>
      <c r="K7" s="241" t="n"/>
    </row>
    <row r="8" ht="24" customFormat="1" customHeight="1" s="241" thickBot="1">
      <c r="A8" s="37" t="inlineStr">
        <is>
          <t>Name &amp; Designation(s)</t>
        </is>
      </c>
      <c r="B8" s="356" t="n"/>
      <c r="C8" s="508" t="n"/>
      <c r="D8" s="508" t="n"/>
      <c r="E8" s="508" t="n"/>
      <c r="F8" s="508" t="n"/>
      <c r="G8" s="508" t="n"/>
      <c r="H8" s="241" t="n"/>
      <c r="I8" s="241" t="n"/>
      <c r="J8" s="241" t="n"/>
    </row>
    <row r="9" customFormat="1" s="215">
      <c r="A9" s="339" t="n"/>
      <c r="B9" s="509" t="n"/>
      <c r="C9" s="509" t="n"/>
      <c r="D9" s="509" t="n"/>
      <c r="E9" s="509" t="n"/>
      <c r="F9" s="509" t="n"/>
      <c r="G9" s="509" t="n"/>
      <c r="H9" s="215" t="n"/>
      <c r="I9" s="215" t="n"/>
      <c r="J9" s="215" t="n"/>
      <c r="K9" s="215" t="n"/>
    </row>
    <row r="10" customFormat="1" s="20">
      <c r="A10" s="349" t="inlineStr">
        <is>
          <t>WELL INFORMATION</t>
        </is>
      </c>
      <c r="B10" s="506" t="n"/>
      <c r="C10" s="506" t="n"/>
      <c r="D10" s="506" t="n"/>
      <c r="E10" s="506" t="n"/>
      <c r="F10" s="506" t="n"/>
      <c r="G10" s="506" t="n"/>
      <c r="H10" s="20" t="n"/>
      <c r="I10" s="20" t="n"/>
      <c r="J10" s="20" t="n"/>
      <c r="K10" s="20" t="n"/>
    </row>
    <row r="11" ht="14.25" customFormat="1" customHeight="1" s="215">
      <c r="A11" s="34" t="inlineStr">
        <is>
          <t>Well Name</t>
        </is>
      </c>
      <c r="B11" s="351" t="inlineStr">
        <is>
          <t>SPL 1-15 HZ 102 MartenG 3-18-74-25</t>
        </is>
      </c>
      <c r="C11" s="507" t="n"/>
      <c r="D11" s="507" t="n"/>
      <c r="E11" s="507" t="n"/>
      <c r="F11" s="507" t="n"/>
      <c r="G11" s="507" t="n"/>
      <c r="H11" s="215" t="n"/>
      <c r="I11" s="215" t="n"/>
      <c r="J11" s="215" t="n"/>
      <c r="K11" s="215" t="n"/>
    </row>
    <row r="12" ht="14.25" customFormat="1" customHeight="1" s="215">
      <c r="A12" s="34" t="inlineStr">
        <is>
          <t>UWI</t>
        </is>
      </c>
      <c r="B12" s="361" t="inlineStr">
        <is>
          <t>102/03-18-074-25W4/00</t>
        </is>
      </c>
      <c r="C12" s="225" t="n"/>
      <c r="D12" s="225" t="n"/>
      <c r="E12" s="225" t="n"/>
      <c r="F12" s="225" t="n"/>
      <c r="G12" s="225" t="n"/>
      <c r="H12" s="215" t="n"/>
      <c r="I12" s="215" t="n"/>
      <c r="J12" s="215" t="n"/>
      <c r="K12" s="215" t="n"/>
    </row>
    <row r="13" ht="14.25" customFormat="1" customHeight="1" s="215">
      <c r="A13" s="34" t="inlineStr">
        <is>
          <t>Bottom Location</t>
        </is>
      </c>
      <c r="B13" s="361" t="inlineStr">
        <is>
          <t>03-18-074-25W4/00</t>
        </is>
      </c>
      <c r="C13" s="225" t="n"/>
      <c r="D13" s="225" t="n"/>
      <c r="E13" s="225" t="n"/>
      <c r="F13" s="225" t="n"/>
      <c r="G13" s="225" t="n"/>
    </row>
    <row r="14" ht="14.25" customFormat="1" customHeight="1" s="215">
      <c r="A14" s="34" t="inlineStr">
        <is>
          <t>Surface Location</t>
        </is>
      </c>
      <c r="B14" s="361" t="inlineStr">
        <is>
          <t>1-13-74-26W4</t>
        </is>
      </c>
      <c r="C14" s="225" t="n"/>
      <c r="D14" s="225" t="n"/>
      <c r="E14" s="225" t="n"/>
      <c r="F14" s="225" t="n"/>
      <c r="G14" s="225" t="n"/>
    </row>
    <row r="15" customFormat="1" s="215">
      <c r="A15" s="34" t="inlineStr">
        <is>
          <t>Field/Region</t>
        </is>
      </c>
      <c r="B15" s="361" t="inlineStr">
        <is>
          <t>MartenH</t>
        </is>
      </c>
      <c r="C15" s="225" t="n"/>
      <c r="D15" s="225" t="n"/>
      <c r="E15" s="225" t="n"/>
      <c r="F15" s="225" t="n"/>
      <c r="G15" s="225" t="n"/>
      <c r="H15" s="215" t="n"/>
      <c r="I15" s="215" t="n"/>
      <c r="J15" s="215" t="n"/>
      <c r="K15" s="215" t="n"/>
    </row>
    <row r="16" customFormat="1" s="215">
      <c r="A16" s="34" t="inlineStr">
        <is>
          <t>Well License #</t>
        </is>
      </c>
      <c r="B16" s="357" t="inlineStr">
        <is>
          <t>0604947</t>
        </is>
      </c>
      <c r="C16" s="225" t="n"/>
      <c r="D16" s="225" t="n"/>
      <c r="E16" s="225" t="n"/>
      <c r="F16" s="225" t="n"/>
      <c r="G16" s="225" t="n"/>
      <c r="H16" s="215" t="n"/>
      <c r="I16" s="215" t="n"/>
      <c r="J16" s="215" t="n"/>
    </row>
    <row r="17" customFormat="1" s="215">
      <c r="A17" s="34" t="inlineStr">
        <is>
          <t xml:space="preserve">AFE Number </t>
        </is>
      </c>
      <c r="B17" s="361" t="inlineStr">
        <is>
          <t>D22743</t>
        </is>
      </c>
      <c r="C17" s="225" t="n"/>
      <c r="D17" s="225" t="n"/>
      <c r="E17" s="225" t="n"/>
      <c r="F17" s="225" t="n"/>
      <c r="G17" s="225" t="n"/>
      <c r="H17" s="215" t="n"/>
      <c r="I17" s="215" t="n"/>
      <c r="J17" s="215" t="n"/>
    </row>
    <row r="18" ht="14.25" customFormat="1" customHeight="1" s="215">
      <c r="A18" s="34" t="inlineStr">
        <is>
          <t>Operator</t>
        </is>
      </c>
      <c r="B18" s="361" t="inlineStr">
        <is>
          <t>Oil Company</t>
        </is>
      </c>
      <c r="C18" s="225" t="n"/>
      <c r="D18" s="225" t="n"/>
      <c r="E18" s="225" t="n"/>
      <c r="F18" s="225" t="n"/>
      <c r="G18" s="225" t="n"/>
      <c r="H18" s="215" t="n"/>
      <c r="I18" s="215" t="n"/>
      <c r="J18" s="215" t="n"/>
      <c r="K18" s="215" t="n"/>
    </row>
    <row r="19" ht="14.25" customFormat="1" customHeight="1" s="215">
      <c r="A19" s="34" t="inlineStr">
        <is>
          <t>Client Contact</t>
        </is>
      </c>
      <c r="B19" s="361" t="inlineStr">
        <is>
          <t>Client</t>
        </is>
      </c>
      <c r="C19" s="225" t="n"/>
      <c r="D19" s="225" t="n"/>
      <c r="E19" s="225" t="n"/>
      <c r="F19" s="225" t="n"/>
      <c r="G19" s="225" t="n"/>
      <c r="H19" s="215" t="n"/>
      <c r="I19" s="215" t="n"/>
      <c r="J19" s="215" t="n"/>
      <c r="K19" s="215" t="n"/>
    </row>
    <row r="20" ht="15" customFormat="1" customHeight="1" s="215" thickBot="1">
      <c r="A20" s="35" t="inlineStr">
        <is>
          <t>Target Formation</t>
        </is>
      </c>
      <c r="B20" s="350" t="inlineStr">
        <is>
          <t>Formation Group SS</t>
        </is>
      </c>
      <c r="C20" s="508" t="n"/>
      <c r="D20" s="508" t="n"/>
      <c r="E20" s="508" t="n"/>
      <c r="F20" s="508" t="n"/>
      <c r="G20" s="508" t="n"/>
      <c r="H20" s="215" t="n"/>
      <c r="I20" s="215" t="n"/>
      <c r="J20" s="215" t="n"/>
      <c r="K20" s="215" t="n"/>
    </row>
    <row r="21" customFormat="1" s="215">
      <c r="A21" s="339" t="n"/>
      <c r="B21" s="509" t="n"/>
      <c r="C21" s="509" t="n"/>
      <c r="D21" s="509" t="n"/>
      <c r="E21" s="509" t="n"/>
      <c r="F21" s="509" t="n"/>
      <c r="G21" s="509" t="n"/>
      <c r="H21" s="215" t="n"/>
      <c r="I21" s="215" t="n"/>
      <c r="J21" s="215" t="n"/>
      <c r="K21" s="215" t="n"/>
    </row>
    <row r="22" customFormat="1" s="20">
      <c r="A22" s="349" t="inlineStr">
        <is>
          <t>SITE DATA</t>
        </is>
      </c>
      <c r="B22" s="506" t="n"/>
      <c r="C22" s="506" t="n"/>
      <c r="D22" s="506" t="n"/>
      <c r="E22" s="506" t="n"/>
      <c r="F22" s="506" t="n"/>
      <c r="G22" s="506" t="n"/>
      <c r="H22" s="20" t="n"/>
      <c r="I22" s="20" t="n"/>
      <c r="J22" s="20" t="n"/>
      <c r="K22" s="20" t="n"/>
    </row>
    <row r="23" customFormat="1" s="215">
      <c r="A23" s="36" t="inlineStr">
        <is>
          <t xml:space="preserve">Surface Coordinates </t>
        </is>
      </c>
      <c r="B23" s="361" t="inlineStr">
        <is>
          <t>296.3m North and 255.4m West of SE corner Section 13</t>
        </is>
      </c>
      <c r="C23" s="225" t="n"/>
      <c r="D23" s="225" t="n"/>
      <c r="E23" s="225" t="n"/>
      <c r="F23" s="225" t="n"/>
      <c r="G23" s="225" t="n"/>
      <c r="H23" s="215" t="n"/>
      <c r="I23" s="215" t="n"/>
      <c r="J23" s="215" t="n"/>
    </row>
    <row r="24" customFormat="1" s="215">
      <c r="A24" s="36" t="inlineStr">
        <is>
          <t>ICP Coordinates</t>
        </is>
      </c>
      <c r="B24" s="361" t="inlineStr">
        <is>
          <t>5.6m North and 347.2m East of Well Centre</t>
        </is>
      </c>
      <c r="C24" s="225" t="n"/>
      <c r="D24" s="225" t="n"/>
      <c r="E24" s="225" t="n"/>
      <c r="F24" s="225" t="n"/>
      <c r="G24" s="225" t="n"/>
      <c r="H24" s="215" t="n"/>
      <c r="I24" s="215" t="n"/>
      <c r="J24" s="215" t="n"/>
    </row>
    <row r="25" customFormat="1" s="215">
      <c r="A25" s="36" t="inlineStr">
        <is>
          <t>Bottomhole Coordinates</t>
        </is>
      </c>
      <c r="B25" s="361" t="n"/>
      <c r="C25" s="225" t="n"/>
      <c r="D25" s="225" t="n"/>
      <c r="E25" s="225" t="n"/>
      <c r="F25" s="225" t="n"/>
      <c r="G25" s="225" t="n"/>
      <c r="H25" s="215" t="n"/>
      <c r="I25" s="215" t="n"/>
      <c r="J25" s="215" t="n"/>
    </row>
    <row r="26" ht="14.25" customFormat="1" customHeight="1" s="215">
      <c r="A26" s="36" t="inlineStr">
        <is>
          <t>Leg 1</t>
        </is>
      </c>
      <c r="B26" s="361" t="inlineStr">
        <is>
          <t>206.1m South and 2193.9m East of Well Centre</t>
        </is>
      </c>
      <c r="C26" s="225" t="n"/>
      <c r="D26" s="225" t="n"/>
      <c r="E26" s="225" t="n"/>
      <c r="F26" s="225" t="n"/>
      <c r="G26" s="225" t="n"/>
      <c r="H26" s="215" t="n"/>
      <c r="I26" s="215" t="n"/>
      <c r="J26" s="215" t="n"/>
    </row>
    <row r="27" ht="14.25" customFormat="1" customHeight="1" s="215">
      <c r="A27" s="36" t="inlineStr">
        <is>
          <t>Leg 2</t>
        </is>
      </c>
      <c r="B27" s="361" t="inlineStr">
        <is>
          <t>109.7m South and 1800.9m East of Well Centre</t>
        </is>
      </c>
      <c r="C27" s="225" t="n"/>
      <c r="D27" s="225" t="n"/>
      <c r="E27" s="225" t="n"/>
      <c r="F27" s="225" t="n"/>
      <c r="G27" s="225" t="n"/>
      <c r="H27" s="215" t="n"/>
      <c r="I27" s="215" t="n"/>
      <c r="J27" s="215" t="n"/>
    </row>
    <row r="28" ht="14.25" customFormat="1" customHeight="1" s="215">
      <c r="A28" s="36" t="inlineStr">
        <is>
          <t>Leg 3</t>
        </is>
      </c>
      <c r="B28" s="361" t="inlineStr">
        <is>
          <t>11.2m South &amp; 2102.7m East of Well Centre</t>
        </is>
      </c>
      <c r="C28" s="225" t="n"/>
      <c r="D28" s="225" t="n"/>
      <c r="E28" s="225" t="n"/>
      <c r="F28" s="225" t="n"/>
      <c r="G28" s="225" t="n"/>
      <c r="H28" s="215" t="n"/>
      <c r="I28" s="215" t="n"/>
      <c r="J28" s="215" t="n"/>
    </row>
    <row r="29" ht="14.25" customFormat="1" customHeight="1" s="215">
      <c r="A29" s="36" t="inlineStr">
        <is>
          <t>Leg 4</t>
        </is>
      </c>
      <c r="B29" s="361" t="n"/>
      <c r="C29" s="225" t="n"/>
      <c r="D29" s="225" t="n"/>
      <c r="E29" s="225" t="n"/>
      <c r="F29" s="225" t="n"/>
      <c r="G29" s="225" t="n"/>
      <c r="H29" s="215" t="n"/>
      <c r="I29" s="215" t="n"/>
      <c r="J29" s="215" t="n"/>
    </row>
    <row r="30" ht="14.25" customFormat="1" customHeight="1" s="215">
      <c r="A30" s="36" t="inlineStr">
        <is>
          <t>Leg 5</t>
        </is>
      </c>
      <c r="B30" s="361" t="n"/>
      <c r="C30" s="225" t="n"/>
      <c r="D30" s="225" t="n"/>
      <c r="E30" s="225" t="n"/>
      <c r="F30" s="225" t="n"/>
      <c r="G30" s="225" t="n"/>
      <c r="H30" s="215" t="n"/>
      <c r="I30" s="215" t="n"/>
      <c r="J30" s="215" t="n"/>
    </row>
    <row r="31" hidden="1" ht="14.25" customFormat="1" customHeight="1" s="215">
      <c r="A31" s="36" t="inlineStr">
        <is>
          <t>Leg 6</t>
        </is>
      </c>
      <c r="B31" s="361" t="n"/>
      <c r="C31" s="225" t="n"/>
      <c r="D31" s="225" t="n"/>
      <c r="E31" s="225" t="n"/>
      <c r="F31" s="225" t="n"/>
      <c r="G31" s="225" t="n"/>
      <c r="H31" s="215" t="n"/>
      <c r="I31" s="215" t="n"/>
      <c r="J31" s="215" t="n"/>
    </row>
    <row r="32" hidden="1" customFormat="1" s="215">
      <c r="A32" s="36" t="inlineStr">
        <is>
          <t>Leg 8</t>
        </is>
      </c>
      <c r="B32" s="361" t="n"/>
      <c r="C32" s="225" t="n"/>
      <c r="D32" s="225" t="n"/>
      <c r="E32" s="225" t="n"/>
      <c r="F32" s="225" t="n"/>
      <c r="G32" s="225" t="n"/>
      <c r="H32" s="215" t="n"/>
      <c r="I32" s="215" t="n"/>
      <c r="J32" s="215" t="n"/>
    </row>
    <row r="33" hidden="1" customFormat="1" s="215">
      <c r="A33" s="36" t="inlineStr">
        <is>
          <t>Leg 9</t>
        </is>
      </c>
      <c r="B33" s="361" t="n"/>
      <c r="C33" s="225" t="n"/>
      <c r="D33" s="225" t="n"/>
      <c r="E33" s="225" t="n"/>
      <c r="F33" s="225" t="n"/>
      <c r="G33" s="225" t="n"/>
      <c r="H33" s="215" t="n"/>
      <c r="I33" s="215" t="n"/>
      <c r="J33" s="215" t="n"/>
    </row>
    <row r="34" hidden="1" customFormat="1" s="215">
      <c r="A34" s="36" t="inlineStr">
        <is>
          <t>Leg 10</t>
        </is>
      </c>
      <c r="B34" s="361" t="n"/>
      <c r="C34" s="225" t="n"/>
      <c r="D34" s="225" t="n"/>
      <c r="E34" s="225" t="n"/>
      <c r="F34" s="225" t="n"/>
      <c r="G34" s="225" t="n"/>
      <c r="H34" s="215" t="n"/>
      <c r="I34" s="215" t="n"/>
      <c r="J34" s="215" t="n"/>
    </row>
    <row r="35" hidden="1" customFormat="1" s="215">
      <c r="A35" s="36" t="inlineStr">
        <is>
          <t>Leg 11</t>
        </is>
      </c>
      <c r="B35" s="361" t="n"/>
      <c r="C35" s="225" t="n"/>
      <c r="D35" s="225" t="n"/>
      <c r="E35" s="225" t="n"/>
      <c r="F35" s="225" t="n"/>
      <c r="G35" s="225" t="n"/>
      <c r="H35" s="215" t="n"/>
      <c r="I35" s="215" t="n"/>
      <c r="J35" s="215" t="n"/>
    </row>
    <row r="36" hidden="1" customFormat="1" s="215">
      <c r="A36" s="36" t="inlineStr">
        <is>
          <t>Leg 12</t>
        </is>
      </c>
      <c r="B36" s="361" t="n"/>
      <c r="C36" s="225" t="n"/>
      <c r="D36" s="225" t="n"/>
      <c r="E36" s="225" t="n"/>
      <c r="F36" s="225" t="n"/>
      <c r="G36" s="225" t="n"/>
      <c r="H36" s="215" t="n"/>
      <c r="I36" s="215" t="n"/>
      <c r="J36" s="215" t="n"/>
    </row>
    <row r="37" hidden="1" customFormat="1" s="215">
      <c r="A37" s="36" t="inlineStr">
        <is>
          <t>Leg 13</t>
        </is>
      </c>
      <c r="B37" s="361" t="n"/>
      <c r="C37" s="225" t="n"/>
      <c r="D37" s="225" t="n"/>
      <c r="E37" s="225" t="n"/>
      <c r="F37" s="225" t="n"/>
      <c r="G37" s="225" t="n"/>
      <c r="H37" s="215" t="n"/>
      <c r="I37" s="215" t="n"/>
      <c r="J37" s="215" t="n"/>
    </row>
    <row r="38" hidden="1" customFormat="1" s="215">
      <c r="A38" s="36" t="inlineStr">
        <is>
          <t>Leg 14</t>
        </is>
      </c>
      <c r="B38" s="361" t="inlineStr">
        <is>
          <t>XPL ( C )</t>
        </is>
      </c>
      <c r="C38" s="225" t="n"/>
      <c r="D38" s="225" t="n"/>
      <c r="E38" s="225" t="n"/>
      <c r="F38" s="225" t="n"/>
      <c r="G38" s="225" t="n"/>
      <c r="H38" s="215" t="n"/>
      <c r="I38" s="215" t="n"/>
      <c r="J38" s="215" t="n"/>
    </row>
    <row r="39" hidden="1" customFormat="1" s="215">
      <c r="A39" s="36" t="inlineStr">
        <is>
          <t>Leg 15</t>
        </is>
      </c>
      <c r="B39" s="361" t="n"/>
      <c r="C39" s="225" t="n"/>
      <c r="D39" s="225" t="n"/>
      <c r="E39" s="225" t="n"/>
      <c r="F39" s="225" t="n"/>
      <c r="G39" s="225" t="n"/>
      <c r="H39" s="215" t="n"/>
      <c r="I39" s="215" t="n"/>
      <c r="J39" s="215" t="n"/>
    </row>
    <row r="40" hidden="1" customFormat="1" s="215">
      <c r="A40" s="36" t="inlineStr">
        <is>
          <t xml:space="preserve">Well Classification </t>
        </is>
      </c>
      <c r="B40" s="361" t="inlineStr">
        <is>
          <t>XPL ( C )</t>
        </is>
      </c>
      <c r="C40" s="225" t="n"/>
      <c r="D40" s="225" t="n"/>
      <c r="E40" s="225" t="n"/>
      <c r="F40" s="225" t="n"/>
      <c r="G40" s="225" t="n"/>
      <c r="H40" s="215" t="n"/>
      <c r="I40" s="215" t="n"/>
      <c r="J40" s="215" t="n"/>
    </row>
    <row r="41" customFormat="1" s="215">
      <c r="A41" s="36" t="inlineStr">
        <is>
          <t>Well Type</t>
        </is>
      </c>
      <c r="B41" s="361" t="inlineStr">
        <is>
          <t>Multi-Leg Hz</t>
        </is>
      </c>
      <c r="C41" s="225" t="n"/>
      <c r="D41" s="225" t="n"/>
      <c r="E41" s="225" t="n"/>
      <c r="F41" s="225" t="n"/>
      <c r="G41" s="225" t="n"/>
      <c r="H41" s="215" t="n"/>
      <c r="I41" s="215" t="n"/>
      <c r="J41" s="215" t="n"/>
    </row>
    <row r="42" ht="15" customFormat="1" customHeight="1" s="215" thickBot="1">
      <c r="A42" s="37" t="inlineStr">
        <is>
          <t xml:space="preserve">Drilling Contractor </t>
        </is>
      </c>
      <c r="B42" s="350" t="inlineStr">
        <is>
          <t>Tempco 7</t>
        </is>
      </c>
      <c r="C42" s="508" t="n"/>
      <c r="D42" s="508" t="n"/>
      <c r="E42" s="508" t="n"/>
      <c r="F42" s="508" t="n"/>
      <c r="G42" s="508" t="n"/>
      <c r="H42" s="215" t="n"/>
      <c r="I42" s="215" t="n"/>
      <c r="J42" s="215" t="n"/>
    </row>
    <row r="43" customFormat="1" s="215">
      <c r="A43" s="339" t="n"/>
      <c r="B43" s="509" t="n"/>
      <c r="C43" s="509" t="n"/>
      <c r="D43" s="509" t="n"/>
      <c r="E43" s="509" t="n"/>
      <c r="F43" s="509" t="n"/>
      <c r="G43" s="509" t="n"/>
      <c r="H43" s="215" t="n"/>
      <c r="I43" s="215" t="n"/>
      <c r="J43" s="215" t="n"/>
      <c r="K43" s="215" t="n"/>
    </row>
    <row r="44" customFormat="1" s="20">
      <c r="A44" s="349" t="inlineStr">
        <is>
          <t>ELEVATIONS</t>
        </is>
      </c>
      <c r="B44" s="506" t="n"/>
      <c r="C44" s="506" t="n"/>
      <c r="D44" s="506" t="n"/>
      <c r="E44" s="506" t="n"/>
      <c r="F44" s="506" t="n"/>
      <c r="G44" s="506" t="n"/>
      <c r="H44" s="20" t="n"/>
      <c r="I44" s="20" t="n"/>
      <c r="J44" s="20" t="n"/>
      <c r="K44" s="20" t="n"/>
    </row>
    <row r="45" ht="15" customFormat="1" customHeight="1" s="215" thickBot="1">
      <c r="A45" s="35" t="inlineStr">
        <is>
          <t xml:space="preserve">Ground Level  </t>
        </is>
      </c>
      <c r="B45" s="510" t="n">
        <v>684.6</v>
      </c>
      <c r="C45" s="511" t="n"/>
      <c r="D45" s="338" t="inlineStr">
        <is>
          <t>Kelly Bushing</t>
        </is>
      </c>
      <c r="E45" s="512" t="n"/>
      <c r="F45" s="510" t="n">
        <v>688.9</v>
      </c>
      <c r="G45" s="511" t="n"/>
      <c r="H45" s="215" t="n"/>
      <c r="I45" s="215" t="n"/>
      <c r="J45" s="215" t="n"/>
      <c r="K45" s="215" t="n"/>
    </row>
    <row r="46" customFormat="1" s="215">
      <c r="A46" s="339" t="n"/>
      <c r="B46" s="509" t="n"/>
      <c r="C46" s="509" t="n"/>
      <c r="D46" s="509" t="n"/>
      <c r="E46" s="509" t="n"/>
      <c r="F46" s="509" t="n"/>
      <c r="G46" s="509" t="n"/>
      <c r="H46" s="215" t="n"/>
      <c r="I46" s="215" t="n"/>
      <c r="J46" s="215" t="n"/>
      <c r="K46" s="215" t="n"/>
    </row>
    <row r="47" customFormat="1" s="20">
      <c r="A47" s="336" t="inlineStr">
        <is>
          <t>DRILLING DATES</t>
        </is>
      </c>
      <c r="B47" s="506" t="n"/>
      <c r="C47" s="506" t="n"/>
      <c r="D47" s="506" t="n"/>
      <c r="E47" s="506" t="n"/>
      <c r="F47" s="506" t="n"/>
      <c r="G47" s="506" t="n"/>
      <c r="H47" s="20" t="n"/>
      <c r="I47" s="20" t="n"/>
      <c r="J47" s="119" t="n"/>
      <c r="K47" s="20" t="n"/>
    </row>
    <row r="48" customFormat="1" s="215">
      <c r="A48" s="34" t="inlineStr">
        <is>
          <t xml:space="preserve">Spud Date </t>
        </is>
      </c>
      <c r="B48" s="513" t="n">
        <v>44777</v>
      </c>
      <c r="C48" s="225" t="n"/>
      <c r="D48" s="34" t="inlineStr">
        <is>
          <t>Time</t>
        </is>
      </c>
      <c r="E48" s="514" t="n">
        <v>0.8333333333333334</v>
      </c>
      <c r="F48" s="507" t="n"/>
      <c r="G48" s="507" t="n"/>
      <c r="H48" s="215" t="n"/>
      <c r="I48" s="215" t="n"/>
      <c r="J48" s="215" t="n"/>
      <c r="K48" s="215" t="n"/>
    </row>
    <row r="49" customFormat="1" s="215">
      <c r="A49" s="34" t="inlineStr">
        <is>
          <t>ICP Date</t>
        </is>
      </c>
      <c r="B49" s="513" t="n">
        <v>44779</v>
      </c>
      <c r="C49" s="225" t="n"/>
      <c r="D49" s="34" t="inlineStr">
        <is>
          <t>Time</t>
        </is>
      </c>
      <c r="E49" s="515" t="n">
        <v>0.2604166666666667</v>
      </c>
      <c r="F49" s="225" t="n"/>
      <c r="G49" s="225" t="n"/>
      <c r="H49" s="215" t="n"/>
      <c r="I49" s="215" t="n"/>
      <c r="J49" s="215" t="n"/>
      <c r="K49" s="215" t="n"/>
    </row>
    <row r="50" customFormat="1" s="215">
      <c r="A50" s="34" t="inlineStr">
        <is>
          <t>TD Date - Leg 1</t>
        </is>
      </c>
      <c r="B50" s="513" t="n">
        <v>44781</v>
      </c>
      <c r="C50" s="225" t="n"/>
      <c r="D50" s="34" t="inlineStr">
        <is>
          <t>Time</t>
        </is>
      </c>
      <c r="E50" s="515" t="n">
        <v>0.6631944444444444</v>
      </c>
      <c r="F50" s="225" t="n"/>
      <c r="G50" s="225" t="n"/>
      <c r="H50" s="215" t="n"/>
      <c r="I50" s="215" t="n"/>
      <c r="J50" s="215" t="n"/>
      <c r="K50" s="215" t="n"/>
    </row>
    <row r="51" customFormat="1" s="215">
      <c r="A51" s="34" t="inlineStr">
        <is>
          <t>TD Date - Leg 2</t>
        </is>
      </c>
      <c r="B51" s="513" t="n">
        <v>44782</v>
      </c>
      <c r="C51" s="225" t="n"/>
      <c r="D51" s="34" t="inlineStr">
        <is>
          <t>Time</t>
        </is>
      </c>
      <c r="E51" s="515" t="n">
        <v>0.5833333333333334</v>
      </c>
      <c r="F51" s="225" t="n"/>
      <c r="G51" s="225" t="n"/>
      <c r="H51" s="215" t="n"/>
      <c r="I51" s="215" t="n"/>
      <c r="J51" s="215" t="n"/>
      <c r="K51" s="215" t="n"/>
    </row>
    <row r="52" ht="14.25" customFormat="1" customHeight="1" s="215">
      <c r="A52" s="34" t="inlineStr">
        <is>
          <t>TD Date - Leg 3</t>
        </is>
      </c>
      <c r="B52" s="513" t="n">
        <v>44783</v>
      </c>
      <c r="C52" s="225" t="n"/>
      <c r="D52" s="34" t="inlineStr">
        <is>
          <t>Time</t>
        </is>
      </c>
      <c r="E52" s="515" t="n">
        <v>0.6944444444444444</v>
      </c>
      <c r="F52" s="225" t="n"/>
      <c r="G52" s="225" t="n"/>
      <c r="H52" s="215" t="n"/>
      <c r="I52" s="215" t="n"/>
      <c r="J52" s="215" t="n"/>
      <c r="K52" s="215" t="n"/>
    </row>
    <row r="53" customFormat="1" s="215">
      <c r="A53" s="34" t="inlineStr">
        <is>
          <t>TD Date - Leg 4</t>
        </is>
      </c>
      <c r="B53" s="513" t="n"/>
      <c r="C53" s="225" t="n"/>
      <c r="D53" s="34" t="inlineStr">
        <is>
          <t>Time</t>
        </is>
      </c>
      <c r="E53" s="515" t="n"/>
      <c r="F53" s="225" t="n"/>
      <c r="G53" s="225" t="n"/>
      <c r="H53" s="215" t="n"/>
      <c r="I53" s="215" t="n"/>
      <c r="J53" s="215" t="n"/>
      <c r="K53" s="215" t="n"/>
    </row>
    <row r="54" ht="12.75" customFormat="1" customHeight="1" s="215">
      <c r="A54" s="34" t="inlineStr">
        <is>
          <t>TD Date - Leg 5</t>
        </is>
      </c>
      <c r="B54" s="513" t="n"/>
      <c r="C54" s="225" t="n"/>
      <c r="D54" s="34" t="inlineStr">
        <is>
          <t>Time</t>
        </is>
      </c>
      <c r="E54" s="515" t="n"/>
      <c r="F54" s="225" t="n"/>
      <c r="G54" s="225" t="n"/>
      <c r="H54" s="215" t="n"/>
      <c r="I54" s="215" t="n"/>
      <c r="J54" s="215" t="n"/>
      <c r="K54" s="215" t="n"/>
    </row>
    <row r="55" ht="14.25" customFormat="1" customHeight="1" s="215">
      <c r="A55" s="34" t="inlineStr">
        <is>
          <t>Rig Release Date</t>
        </is>
      </c>
      <c r="B55" s="513" t="n"/>
      <c r="C55" s="225" t="n"/>
      <c r="D55" s="34" t="inlineStr">
        <is>
          <t>Time</t>
        </is>
      </c>
      <c r="E55" s="515" t="n"/>
      <c r="F55" s="225" t="n"/>
      <c r="G55" s="225" t="n"/>
      <c r="H55" s="215" t="n"/>
      <c r="I55" s="215" t="n"/>
      <c r="J55" s="215" t="n"/>
      <c r="K55" s="215" t="n"/>
    </row>
    <row r="56" hidden="1" ht="14.1" customFormat="1" customHeight="1" s="215">
      <c r="A56" s="34" t="inlineStr">
        <is>
          <t>TD Date - Leg 8</t>
        </is>
      </c>
      <c r="B56" s="513" t="inlineStr">
        <is>
          <t>2022-1-xx</t>
        </is>
      </c>
      <c r="C56" s="225" t="n"/>
      <c r="D56" s="34" t="inlineStr">
        <is>
          <t>Time</t>
        </is>
      </c>
      <c r="E56" s="515" t="inlineStr">
        <is>
          <t>xxx hours</t>
        </is>
      </c>
      <c r="F56" s="225" t="n"/>
      <c r="G56" s="225" t="n"/>
      <c r="H56" s="215" t="n"/>
      <c r="I56" s="215" t="n"/>
      <c r="J56" s="215" t="n"/>
      <c r="K56" s="215" t="n"/>
    </row>
    <row r="57" hidden="1" ht="14.1" customFormat="1" customHeight="1" s="215">
      <c r="A57" s="34" t="inlineStr">
        <is>
          <t>TD Date - Leg 9</t>
        </is>
      </c>
      <c r="B57" s="513" t="inlineStr">
        <is>
          <t>2022-1-xx</t>
        </is>
      </c>
      <c r="C57" s="225" t="n"/>
      <c r="D57" s="34" t="inlineStr">
        <is>
          <t>Time</t>
        </is>
      </c>
      <c r="E57" s="515" t="inlineStr">
        <is>
          <t>xxx hours</t>
        </is>
      </c>
      <c r="F57" s="225" t="n"/>
      <c r="G57" s="225" t="n"/>
      <c r="H57" s="215" t="n"/>
      <c r="I57" s="215" t="n"/>
      <c r="J57" s="215" t="n"/>
      <c r="K57" s="215" t="n"/>
    </row>
    <row r="58" hidden="1" ht="14.1" customFormat="1" customHeight="1" s="215">
      <c r="A58" s="34" t="inlineStr">
        <is>
          <t>TD Date - Leg 10</t>
        </is>
      </c>
      <c r="B58" s="513" t="inlineStr">
        <is>
          <t>2022-1-xx</t>
        </is>
      </c>
      <c r="C58" s="225" t="n"/>
      <c r="D58" s="34" t="inlineStr">
        <is>
          <t>Time</t>
        </is>
      </c>
      <c r="E58" s="515" t="inlineStr">
        <is>
          <t>xxx hours</t>
        </is>
      </c>
      <c r="F58" s="225" t="n"/>
      <c r="G58" s="225" t="n"/>
      <c r="H58" s="215" t="n"/>
      <c r="I58" s="215" t="n"/>
      <c r="J58" s="215" t="n"/>
      <c r="K58" s="215" t="n"/>
    </row>
    <row r="59" hidden="1" ht="14.1" customFormat="1" customHeight="1" s="215">
      <c r="A59" s="34" t="inlineStr">
        <is>
          <t>TD Date - Leg 11</t>
        </is>
      </c>
      <c r="B59" s="513" t="inlineStr">
        <is>
          <t>2022-1-xx</t>
        </is>
      </c>
      <c r="C59" s="225" t="n"/>
      <c r="D59" s="34" t="inlineStr">
        <is>
          <t>Time</t>
        </is>
      </c>
      <c r="E59" s="515" t="inlineStr">
        <is>
          <t>xxx hours</t>
        </is>
      </c>
      <c r="F59" s="225" t="n"/>
      <c r="G59" s="225" t="n"/>
      <c r="H59" s="215" t="n"/>
      <c r="I59" s="215" t="n"/>
      <c r="J59" s="215" t="n"/>
      <c r="K59" s="215" t="n"/>
    </row>
    <row r="60" hidden="1" ht="14.1" customFormat="1" customHeight="1" s="215">
      <c r="A60" s="34" t="inlineStr">
        <is>
          <t>TD Date - Leg 12</t>
        </is>
      </c>
      <c r="B60" s="513" t="n">
        <v>44728</v>
      </c>
      <c r="C60" s="225" t="n"/>
      <c r="D60" s="34" t="inlineStr">
        <is>
          <t>Time</t>
        </is>
      </c>
      <c r="E60" s="515" t="inlineStr">
        <is>
          <t>xxx hours</t>
        </is>
      </c>
      <c r="F60" s="225" t="n"/>
      <c r="G60" s="225" t="n"/>
      <c r="H60" s="215" t="n"/>
      <c r="I60" s="215" t="n"/>
      <c r="J60" s="215" t="n"/>
      <c r="K60" s="215" t="n"/>
    </row>
    <row r="61" hidden="1" ht="14.1" customFormat="1" customHeight="1" s="215">
      <c r="A61" s="34" t="inlineStr">
        <is>
          <t>TD Date - Leg 13</t>
        </is>
      </c>
      <c r="B61" s="513" t="inlineStr">
        <is>
          <t>2022-1-xx</t>
        </is>
      </c>
      <c r="C61" s="225" t="n"/>
      <c r="D61" s="34" t="inlineStr">
        <is>
          <t>Time</t>
        </is>
      </c>
      <c r="E61" s="515" t="inlineStr">
        <is>
          <t>xxx hours</t>
        </is>
      </c>
      <c r="F61" s="225" t="n"/>
      <c r="G61" s="225" t="n"/>
      <c r="H61" s="215" t="n"/>
      <c r="I61" s="215" t="n"/>
      <c r="J61" s="215" t="n"/>
      <c r="K61" s="215" t="n"/>
    </row>
    <row r="62" hidden="1" ht="14.1" customFormat="1" customHeight="1" s="215">
      <c r="A62" s="34" t="inlineStr">
        <is>
          <t>TD Date - Leg 14</t>
        </is>
      </c>
      <c r="B62" s="513" t="inlineStr">
        <is>
          <t>2022-1-xx</t>
        </is>
      </c>
      <c r="C62" s="225" t="n"/>
      <c r="D62" s="34" t="inlineStr">
        <is>
          <t>Time</t>
        </is>
      </c>
      <c r="E62" s="515" t="inlineStr">
        <is>
          <t>xxx hours</t>
        </is>
      </c>
      <c r="F62" s="225" t="n"/>
      <c r="G62" s="225" t="n"/>
      <c r="H62" s="215" t="n"/>
      <c r="I62" s="215" t="n"/>
      <c r="J62" s="215" t="n"/>
      <c r="K62" s="215" t="n"/>
    </row>
    <row r="63" hidden="1" ht="14.1" customFormat="1" customHeight="1" s="215">
      <c r="A63" s="34" t="inlineStr">
        <is>
          <t>TD Date - Leg 15</t>
        </is>
      </c>
      <c r="B63" s="513" t="inlineStr">
        <is>
          <t>2022-1-xx</t>
        </is>
      </c>
      <c r="C63" s="225" t="n"/>
      <c r="D63" s="34" t="inlineStr">
        <is>
          <t>Time</t>
        </is>
      </c>
      <c r="E63" s="515" t="inlineStr">
        <is>
          <t>xxx hours</t>
        </is>
      </c>
      <c r="F63" s="225" t="n"/>
      <c r="G63" s="225" t="n"/>
      <c r="H63" s="215" t="n"/>
      <c r="I63" s="215" t="n"/>
      <c r="J63" s="215" t="n"/>
      <c r="K63" s="215" t="n"/>
    </row>
    <row r="64" hidden="1" ht="15" customFormat="1" customHeight="1" s="215" thickBot="1">
      <c r="A64" s="35" t="inlineStr">
        <is>
          <t>Rig Release Date</t>
        </is>
      </c>
      <c r="B64" s="513" t="n"/>
      <c r="C64" s="225" t="n"/>
      <c r="D64" s="34" t="inlineStr">
        <is>
          <t>Time</t>
        </is>
      </c>
      <c r="E64" s="515" t="n"/>
      <c r="F64" s="225" t="n"/>
      <c r="G64" s="225" t="n"/>
      <c r="H64" s="215" t="n"/>
      <c r="I64" s="215" t="n"/>
      <c r="J64" s="215" t="n"/>
      <c r="K64" s="215" t="n"/>
    </row>
    <row r="65" hidden="1" customFormat="1" s="215">
      <c r="A65" s="339" t="n"/>
      <c r="B65" s="509" t="n"/>
      <c r="C65" s="509" t="n"/>
      <c r="D65" s="509" t="n"/>
      <c r="E65" s="509" t="n"/>
      <c r="F65" s="509" t="n"/>
      <c r="G65" s="509" t="n"/>
      <c r="H65" s="215" t="n"/>
      <c r="I65" s="215" t="n"/>
      <c r="J65" s="215" t="n"/>
      <c r="K65" s="215" t="n"/>
    </row>
    <row r="66" ht="14.25" customFormat="1" customHeight="1" s="20">
      <c r="A66" s="336" t="inlineStr">
        <is>
          <t>HOLE SIZE &amp; MUD TYPE</t>
        </is>
      </c>
      <c r="B66" s="506" t="n"/>
      <c r="C66" s="506" t="n"/>
      <c r="D66" s="506" t="n"/>
      <c r="E66" s="506" t="n"/>
      <c r="F66" s="506" t="n"/>
      <c r="G66" s="506" t="n"/>
      <c r="H66" s="20" t="n"/>
      <c r="I66" s="20" t="n"/>
      <c r="J66" s="20" t="n"/>
      <c r="K66" s="20" t="n"/>
    </row>
    <row r="67" ht="14.25" customFormat="1" customHeight="1" s="215">
      <c r="A67" s="34" t="inlineStr">
        <is>
          <t xml:space="preserve">Surface </t>
        </is>
      </c>
      <c r="B67" s="361" t="inlineStr">
        <is>
          <t>311mm, Floc Water</t>
        </is>
      </c>
      <c r="C67" s="225" t="n"/>
      <c r="D67" s="225" t="n"/>
      <c r="E67" s="225" t="n"/>
      <c r="F67" s="225" t="n"/>
      <c r="G67" s="225" t="n"/>
      <c r="H67" s="215" t="n"/>
      <c r="I67" s="215" t="n"/>
      <c r="J67" s="215" t="n"/>
      <c r="K67" s="215" t="n"/>
    </row>
    <row r="68" ht="14.25" customFormat="1" customHeight="1" s="215">
      <c r="A68" s="34" t="inlineStr">
        <is>
          <t xml:space="preserve">Intermediate </t>
        </is>
      </c>
      <c r="B68" s="361" t="inlineStr">
        <is>
          <t>222mm, Floc water/gel-chem to ICP</t>
        </is>
      </c>
      <c r="C68" s="225" t="n"/>
      <c r="D68" s="225" t="n"/>
      <c r="E68" s="225" t="n"/>
      <c r="F68" s="225" t="n"/>
      <c r="G68" s="225" t="n"/>
      <c r="H68" s="215" t="n"/>
      <c r="I68" s="215" t="n"/>
      <c r="J68" s="215" t="n"/>
      <c r="K68" s="215" t="n"/>
    </row>
    <row r="69" ht="14.25" customFormat="1" customHeight="1" s="215" thickBot="1">
      <c r="A69" s="35" t="inlineStr">
        <is>
          <t>Lateral</t>
        </is>
      </c>
      <c r="B69" s="350" t="inlineStr">
        <is>
          <t>159 mm, Base Oil</t>
        </is>
      </c>
      <c r="C69" s="508" t="n"/>
      <c r="D69" s="508" t="n"/>
      <c r="E69" s="508" t="n"/>
      <c r="F69" s="508" t="n"/>
      <c r="G69" s="508" t="n"/>
      <c r="H69" s="215" t="n"/>
      <c r="I69" s="215" t="n"/>
      <c r="J69" s="215" t="n"/>
      <c r="K69" s="215" t="n"/>
    </row>
    <row r="70" ht="14.25" customFormat="1" customHeight="1" s="215">
      <c r="A70" s="339" t="n"/>
      <c r="B70" s="509" t="n"/>
      <c r="C70" s="509" t="n"/>
      <c r="D70" s="509" t="n"/>
      <c r="E70" s="509" t="n"/>
      <c r="F70" s="509" t="n"/>
      <c r="G70" s="509" t="n"/>
      <c r="H70" s="215" t="n"/>
      <c r="I70" s="215" t="n"/>
      <c r="J70" s="215" t="n"/>
      <c r="K70" s="215" t="n"/>
    </row>
    <row r="71" ht="14.25" customFormat="1" customHeight="1" s="20">
      <c r="A71" s="336" t="inlineStr">
        <is>
          <t>CASING DATA</t>
        </is>
      </c>
      <c r="B71" s="506" t="n"/>
      <c r="C71" s="506" t="n"/>
      <c r="D71" s="506" t="n"/>
      <c r="E71" s="506" t="n"/>
      <c r="F71" s="506" t="n"/>
      <c r="G71" s="506" t="n"/>
      <c r="H71" s="20" t="n"/>
      <c r="I71" s="20" t="n"/>
      <c r="J71" s="20" t="n"/>
      <c r="K71" s="20" t="n"/>
    </row>
    <row r="72" customFormat="1" s="215">
      <c r="A72" s="34" t="inlineStr">
        <is>
          <t xml:space="preserve">Surface </t>
        </is>
      </c>
      <c r="B72" s="361" t="inlineStr">
        <is>
          <t>7 joints, Tenaris, H-40, 244.50mm, 48.07 kg/m set at 92.00m</t>
        </is>
      </c>
      <c r="C72" s="225" t="n"/>
      <c r="D72" s="225" t="n"/>
      <c r="E72" s="225" t="n"/>
      <c r="F72" s="225" t="n"/>
      <c r="G72" s="225" t="n"/>
      <c r="H72" s="215" t="n"/>
      <c r="I72" s="215" t="n"/>
      <c r="J72" s="215" t="n"/>
      <c r="K72" s="215" t="n"/>
    </row>
    <row r="73" customFormat="1" s="215">
      <c r="A73" s="34" t="inlineStr">
        <is>
          <t>Intermediate</t>
        </is>
      </c>
      <c r="B73" s="361" t="inlineStr">
        <is>
          <t>40 joints, Tenaris, J-55, 177.80mm, 29.76kg/m, set at 793.00m</t>
        </is>
      </c>
      <c r="C73" s="225" t="n"/>
      <c r="D73" s="225" t="n"/>
      <c r="E73" s="225" t="n"/>
      <c r="F73" s="225" t="n"/>
      <c r="G73" s="225" t="n"/>
      <c r="H73" s="215" t="n"/>
      <c r="I73" s="215" t="n"/>
      <c r="J73" s="215" t="n"/>
      <c r="K73" s="215" t="n"/>
    </row>
    <row r="74" ht="15" customFormat="1" customHeight="1" s="215" thickBot="1">
      <c r="A74" s="35" t="n"/>
      <c r="B74" s="361" t="inlineStr">
        <is>
          <t>21 joints, Tenaris, J-55, 177.80mm, 34.23kg/m, set at 273.33m</t>
        </is>
      </c>
      <c r="C74" s="225" t="n"/>
      <c r="D74" s="225" t="n"/>
      <c r="E74" s="225" t="n"/>
      <c r="F74" s="225" t="n"/>
      <c r="G74" s="225" t="n"/>
      <c r="H74" s="215" t="n"/>
      <c r="I74" s="215" t="n"/>
      <c r="J74" s="215" t="n"/>
      <c r="K74" s="215" t="n"/>
    </row>
    <row r="75" customFormat="1" s="215">
      <c r="A75" s="339" t="n"/>
      <c r="B75" s="509" t="n"/>
      <c r="C75" s="509" t="n"/>
      <c r="D75" s="509" t="n"/>
      <c r="E75" s="509" t="n"/>
      <c r="F75" s="509" t="n"/>
      <c r="G75" s="509" t="n"/>
      <c r="H75" s="215" t="n"/>
      <c r="I75" s="215" t="n"/>
      <c r="J75" s="215" t="n"/>
      <c r="K75" s="215" t="n"/>
    </row>
    <row r="76" customFormat="1" s="20">
      <c r="A76" s="336" t="inlineStr">
        <is>
          <t>GEOLOGICAL DATA</t>
        </is>
      </c>
      <c r="B76" s="506" t="n"/>
      <c r="C76" s="506" t="n"/>
      <c r="D76" s="506" t="n"/>
      <c r="E76" s="506" t="n"/>
      <c r="F76" s="506" t="n"/>
      <c r="G76" s="506" t="n"/>
      <c r="H76" s="20" t="n"/>
      <c r="I76" s="20" t="n"/>
      <c r="J76" s="20" t="n"/>
      <c r="K76" s="20" t="n"/>
    </row>
    <row r="77" ht="27.75" customFormat="1" customHeight="1" s="215">
      <c r="A77" s="34" t="inlineStr">
        <is>
          <t>Sample Interval</t>
        </is>
      </c>
      <c r="B77" s="361" t="inlineStr">
        <is>
          <t>5m intervals 630.0m-793.0mMD (ICP); 20m intervals for Leg #1, 40m intervals Legs #2</t>
        </is>
      </c>
      <c r="C77" s="225" t="n"/>
      <c r="D77" s="225" t="n"/>
      <c r="E77" s="225" t="n"/>
      <c r="F77" s="225" t="n"/>
      <c r="G77" s="225" t="n"/>
      <c r="H77" s="215" t="n"/>
      <c r="I77" s="215" t="n"/>
      <c r="J77" s="215" t="n"/>
      <c r="K77" s="215" t="n"/>
    </row>
    <row r="78" ht="14.25" customFormat="1" customHeight="1" s="215">
      <c r="A78" s="34" t="n"/>
      <c r="B78" s="361" t="n"/>
      <c r="C78" s="225" t="n"/>
      <c r="D78" s="225" t="n"/>
      <c r="E78" s="225" t="n"/>
      <c r="F78" s="225" t="n"/>
      <c r="G78" s="225" t="n"/>
      <c r="H78" s="215" t="n"/>
      <c r="I78" s="215" t="n"/>
      <c r="J78" s="215" t="n"/>
      <c r="K78" s="215" t="n"/>
    </row>
    <row r="79" hidden="1" customFormat="1" s="215">
      <c r="A79" s="34" t="n"/>
      <c r="B79" s="364" t="n"/>
      <c r="C79" s="225" t="n"/>
      <c r="D79" s="225" t="n"/>
      <c r="E79" s="225" t="n"/>
      <c r="F79" s="225" t="n"/>
      <c r="G79" s="225" t="n"/>
      <c r="H79" s="215" t="n"/>
      <c r="I79" s="215" t="n"/>
      <c r="J79" s="215" t="n"/>
      <c r="K79" s="215" t="n"/>
    </row>
    <row r="80" hidden="1" customFormat="1" s="215">
      <c r="A80" s="34" t="n"/>
      <c r="B80" s="364" t="n"/>
      <c r="C80" s="225" t="n"/>
      <c r="D80" s="225" t="n"/>
      <c r="E80" s="225" t="n"/>
      <c r="F80" s="225" t="n"/>
      <c r="G80" s="225" t="n"/>
      <c r="H80" s="215" t="n"/>
      <c r="I80" s="215" t="n"/>
      <c r="J80" s="215" t="n"/>
      <c r="K80" s="215" t="n"/>
    </row>
    <row r="81" hidden="1" customFormat="1" s="215">
      <c r="A81" s="34" t="n"/>
      <c r="B81" s="364" t="n"/>
      <c r="C81" s="225" t="n"/>
      <c r="D81" s="225" t="n"/>
      <c r="E81" s="225" t="n"/>
      <c r="F81" s="225" t="n"/>
      <c r="G81" s="225" t="n"/>
      <c r="H81" s="215" t="n"/>
      <c r="I81" s="215" t="n"/>
      <c r="J81" s="215" t="n"/>
      <c r="K81" s="215" t="n"/>
    </row>
    <row r="82" hidden="1" customFormat="1" s="215">
      <c r="A82" s="34" t="n"/>
      <c r="B82" s="364" t="n"/>
      <c r="C82" s="225" t="n"/>
      <c r="D82" s="225" t="n"/>
      <c r="E82" s="225" t="n"/>
      <c r="F82" s="225" t="n"/>
      <c r="G82" s="225" t="n"/>
      <c r="H82" s="215" t="n"/>
      <c r="I82" s="215" t="n"/>
      <c r="J82" s="215" t="n"/>
      <c r="K82" s="215" t="n"/>
    </row>
    <row r="83" ht="14.25" customFormat="1" customHeight="1" s="215">
      <c r="A83" s="34" t="inlineStr">
        <is>
          <t>Gas Detection Interval</t>
        </is>
      </c>
      <c r="B83" s="361" t="inlineStr">
        <is>
          <t>92.0mMD to FTD; Pason Gas Detector</t>
        </is>
      </c>
      <c r="C83" s="225" t="n"/>
      <c r="D83" s="225" t="n"/>
      <c r="E83" s="225" t="n"/>
      <c r="F83" s="225" t="n"/>
      <c r="G83" s="225" t="n"/>
      <c r="H83" s="215" t="n"/>
      <c r="I83" s="215" t="n"/>
      <c r="J83" s="215" t="n"/>
      <c r="K83" s="215" t="n"/>
    </row>
    <row r="84" hidden="1" customFormat="1" s="215">
      <c r="A84" s="34" t="n"/>
      <c r="B84" s="361" t="n"/>
      <c r="C84" s="225" t="n"/>
      <c r="D84" s="225" t="n"/>
      <c r="E84" s="225" t="n"/>
      <c r="F84" s="225" t="n"/>
      <c r="G84" s="225" t="n"/>
      <c r="H84" s="215" t="n"/>
      <c r="I84" s="215" t="n"/>
      <c r="J84" s="215" t="n"/>
      <c r="K84" s="215" t="n"/>
    </row>
    <row r="85" hidden="1" customFormat="1" s="215">
      <c r="A85" s="34" t="n"/>
      <c r="B85" s="361" t="n"/>
      <c r="C85" s="225" t="n"/>
      <c r="D85" s="225" t="n"/>
      <c r="E85" s="225" t="n"/>
      <c r="F85" s="225" t="n"/>
      <c r="G85" s="225" t="n"/>
      <c r="H85" s="215" t="n"/>
      <c r="I85" s="215" t="n"/>
      <c r="J85" s="215" t="n"/>
      <c r="K85" s="215" t="n"/>
    </row>
    <row r="86" hidden="1" customFormat="1" s="215">
      <c r="A86" s="34" t="n"/>
      <c r="B86" s="361" t="n"/>
      <c r="C86" s="225" t="n"/>
      <c r="D86" s="225" t="n"/>
      <c r="E86" s="225" t="n"/>
      <c r="F86" s="225" t="n"/>
      <c r="G86" s="225" t="n"/>
      <c r="H86" s="215" t="n"/>
      <c r="I86" s="215" t="n"/>
      <c r="J86" s="215" t="n"/>
      <c r="K86" s="215" t="n"/>
    </row>
    <row r="87" hidden="1" customFormat="1" s="215">
      <c r="A87" s="34" t="n"/>
      <c r="B87" s="361" t="n"/>
      <c r="C87" s="225" t="n"/>
      <c r="D87" s="225" t="n"/>
      <c r="E87" s="225" t="n"/>
      <c r="F87" s="225" t="n"/>
      <c r="G87" s="225" t="n"/>
      <c r="H87" s="215" t="n"/>
      <c r="I87" s="215" t="n"/>
      <c r="J87" s="215" t="n"/>
      <c r="K87" s="215" t="n"/>
    </row>
    <row r="88" hidden="1" customFormat="1" s="215">
      <c r="A88" s="34" t="n"/>
      <c r="B88" s="361" t="n"/>
      <c r="C88" s="225" t="n"/>
      <c r="D88" s="225" t="n"/>
      <c r="E88" s="225" t="n"/>
      <c r="F88" s="225" t="n"/>
      <c r="G88" s="225" t="n"/>
      <c r="H88" s="215" t="n"/>
      <c r="I88" s="215" t="n"/>
      <c r="J88" s="215" t="n"/>
      <c r="K88" s="215" t="n"/>
    </row>
    <row r="89" ht="14.25" customFormat="1" customHeight="1" s="215">
      <c r="A89" s="34" t="inlineStr">
        <is>
          <t>Logging Suite</t>
        </is>
      </c>
      <c r="B89" s="361" t="inlineStr">
        <is>
          <t>92.0mMD to FTD; GR</t>
        </is>
      </c>
      <c r="C89" s="225" t="n"/>
      <c r="D89" s="225" t="n"/>
      <c r="E89" s="225" t="n"/>
      <c r="F89" s="225" t="n"/>
      <c r="G89" s="225" t="n"/>
      <c r="H89" s="215" t="n"/>
      <c r="I89" s="215" t="n"/>
      <c r="J89" s="215" t="n"/>
      <c r="K89" s="215" t="n"/>
    </row>
    <row r="90" hidden="1" customFormat="1" s="215">
      <c r="A90" s="34" t="n"/>
      <c r="B90" s="361" t="n"/>
      <c r="C90" s="225" t="n"/>
      <c r="D90" s="225" t="n"/>
      <c r="E90" s="225" t="n"/>
      <c r="F90" s="225" t="n"/>
      <c r="G90" s="225" t="n"/>
      <c r="H90" s="215" t="n"/>
      <c r="I90" s="215" t="n"/>
      <c r="J90" s="215" t="n"/>
      <c r="K90" s="215" t="n"/>
    </row>
    <row r="91" hidden="1" customFormat="1" s="215">
      <c r="A91" s="34" t="n"/>
      <c r="B91" s="361" t="n"/>
      <c r="C91" s="225" t="n"/>
      <c r="D91" s="225" t="n"/>
      <c r="E91" s="225" t="n"/>
      <c r="F91" s="225" t="n"/>
      <c r="G91" s="225" t="n"/>
      <c r="H91" s="215" t="n"/>
      <c r="I91" s="215" t="n"/>
      <c r="J91" s="215" t="n"/>
      <c r="K91" s="215" t="n"/>
    </row>
    <row r="92" hidden="1" customFormat="1" s="215">
      <c r="A92" s="34" t="n"/>
      <c r="B92" s="361" t="n"/>
      <c r="C92" s="225" t="n"/>
      <c r="D92" s="225" t="n"/>
      <c r="E92" s="225" t="n"/>
      <c r="F92" s="225" t="n"/>
      <c r="G92" s="225" t="n"/>
      <c r="H92" s="215" t="n"/>
      <c r="I92" s="215" t="n"/>
      <c r="J92" s="215" t="n"/>
      <c r="K92" s="215" t="n"/>
    </row>
    <row r="93" hidden="1" customFormat="1" s="215">
      <c r="A93" s="34" t="n"/>
      <c r="B93" s="361" t="n"/>
      <c r="C93" s="225" t="n"/>
      <c r="D93" s="225" t="n"/>
      <c r="E93" s="225" t="n"/>
      <c r="F93" s="225" t="n"/>
      <c r="G93" s="225" t="n"/>
      <c r="H93" s="215" t="n"/>
      <c r="I93" s="215" t="n"/>
      <c r="J93" s="215" t="n"/>
      <c r="K93" s="215" t="n"/>
    </row>
    <row r="94" hidden="1" customFormat="1" s="215">
      <c r="A94" s="34" t="n"/>
      <c r="B94" s="361" t="n"/>
      <c r="C94" s="225" t="n"/>
      <c r="D94" s="225" t="n"/>
      <c r="E94" s="225" t="n"/>
      <c r="F94" s="225" t="n"/>
      <c r="G94" s="225" t="n"/>
      <c r="H94" s="215" t="n"/>
      <c r="I94" s="215" t="n"/>
      <c r="J94" s="215" t="n"/>
      <c r="K94" s="215" t="n"/>
    </row>
    <row r="95" ht="15" customFormat="1" customHeight="1" s="215" thickBot="1">
      <c r="A95" s="34" t="inlineStr">
        <is>
          <t>Core Intervals</t>
        </is>
      </c>
      <c r="B95" s="361" t="inlineStr">
        <is>
          <t>None</t>
        </is>
      </c>
      <c r="C95" s="225" t="n"/>
      <c r="D95" s="225" t="n"/>
      <c r="E95" s="225" t="n"/>
      <c r="F95" s="225" t="n"/>
      <c r="G95" s="225" t="n"/>
      <c r="H95" s="215" t="n"/>
      <c r="I95" s="215" t="n"/>
      <c r="J95" s="215" t="n"/>
      <c r="K95" s="215" t="n"/>
    </row>
    <row r="96" hidden="1" ht="15" customFormat="1" customHeight="1" s="215" thickBot="1">
      <c r="A96" s="34" t="n"/>
      <c r="B96" s="360" t="n"/>
      <c r="C96" s="225" t="n"/>
      <c r="D96" s="225" t="n"/>
      <c r="E96" s="225" t="n"/>
      <c r="F96" s="225" t="n"/>
      <c r="G96" s="225" t="n"/>
      <c r="H96" s="215" t="n"/>
      <c r="I96" s="215" t="n"/>
      <c r="J96" s="215" t="n"/>
      <c r="K96" s="215" t="n"/>
    </row>
    <row r="97" hidden="1" ht="15" customFormat="1" customHeight="1" s="215" thickBot="1">
      <c r="A97" s="34" t="n"/>
      <c r="B97" s="360" t="n"/>
      <c r="C97" s="225" t="n"/>
      <c r="D97" s="225" t="n"/>
      <c r="E97" s="225" t="n"/>
      <c r="F97" s="225" t="n"/>
      <c r="G97" s="225" t="n"/>
      <c r="H97" s="215" t="n"/>
      <c r="I97" s="215" t="n"/>
      <c r="J97" s="215" t="n"/>
      <c r="K97" s="215" t="n"/>
    </row>
    <row r="98" customFormat="1" s="215">
      <c r="A98" s="339" t="n"/>
      <c r="B98" s="509" t="n"/>
      <c r="C98" s="509" t="n"/>
      <c r="D98" s="509" t="n"/>
      <c r="E98" s="509" t="n"/>
      <c r="F98" s="509" t="n"/>
      <c r="G98" s="509" t="n"/>
      <c r="H98" s="215" t="n"/>
      <c r="I98" s="215" t="n"/>
      <c r="J98" s="215" t="n"/>
      <c r="K98" s="215" t="n"/>
    </row>
    <row r="99" customFormat="1" s="20">
      <c r="A99" s="347" t="inlineStr">
        <is>
          <t xml:space="preserve">WELL STATUS </t>
        </is>
      </c>
      <c r="B99" s="516" t="n"/>
      <c r="C99" s="516" t="n"/>
      <c r="D99" s="516" t="n"/>
      <c r="E99" s="516" t="n"/>
      <c r="F99" s="516" t="n"/>
      <c r="G99" s="516" t="n"/>
      <c r="H99" s="20" t="n"/>
      <c r="I99" s="20" t="n"/>
      <c r="J99" s="20" t="n"/>
      <c r="K99" s="20" t="n"/>
    </row>
    <row r="100" ht="15" customFormat="1" customHeight="1" s="215" thickBot="1">
      <c r="A100" s="343" t="inlineStr">
        <is>
          <t>Cased for potential Clearwater oil production.</t>
        </is>
      </c>
      <c r="B100" s="508" t="n"/>
      <c r="C100" s="508" t="n"/>
      <c r="D100" s="508" t="n"/>
      <c r="E100" s="508" t="n"/>
      <c r="F100" s="508" t="n"/>
      <c r="G100" s="508" t="n"/>
      <c r="H100" s="215" t="n"/>
      <c r="I100" s="215" t="n"/>
      <c r="J100" s="215" t="n"/>
      <c r="K100" s="215" t="n"/>
    </row>
    <row r="101" ht="15" customFormat="1" customHeight="1" s="215">
      <c r="A101" s="215" t="n"/>
      <c r="B101" s="18" t="n"/>
      <c r="C101" s="215" t="n"/>
      <c r="D101" s="215" t="n"/>
      <c r="E101" s="215" t="n"/>
      <c r="F101" s="215" t="n"/>
      <c r="G101" s="215" t="n"/>
      <c r="H101" s="215" t="n"/>
      <c r="I101" s="215" t="n"/>
      <c r="J101" s="215" t="n"/>
      <c r="K101" s="215" t="n"/>
    </row>
    <row r="102" customFormat="1" s="215">
      <c r="H102" s="215" t="n"/>
      <c r="I102" s="215" t="n"/>
      <c r="J102" s="215" t="n"/>
      <c r="K102" s="215" t="n"/>
    </row>
    <row r="103" customFormat="1" s="215">
      <c r="H103" s="215" t="n"/>
      <c r="I103" s="215" t="n"/>
      <c r="J103" s="215" t="n"/>
      <c r="K103" s="215" t="n"/>
    </row>
    <row r="104" customFormat="1" s="215">
      <c r="H104" s="215" t="n"/>
      <c r="I104" s="215" t="n"/>
      <c r="J104" s="215" t="n"/>
      <c r="K104" s="215" t="n"/>
    </row>
    <row r="105" customFormat="1" s="215">
      <c r="H105" s="215" t="n"/>
      <c r="I105" s="215" t="n"/>
      <c r="J105" s="215" t="n"/>
      <c r="K105" s="215" t="n"/>
    </row>
    <row r="106" customFormat="1" s="215">
      <c r="H106" s="215" t="n"/>
      <c r="I106" s="215" t="n"/>
      <c r="J106" s="215" t="n"/>
      <c r="K106" s="215" t="n"/>
    </row>
    <row r="107" customFormat="1" s="215">
      <c r="H107" s="215" t="n"/>
      <c r="I107" s="215" t="n"/>
      <c r="J107" s="215" t="n"/>
      <c r="K107" s="215" t="n"/>
    </row>
    <row r="108" customFormat="1" s="215"/>
    <row r="109" customFormat="1" s="215"/>
    <row r="110" customFormat="1" s="215"/>
    <row r="111" customFormat="1" s="215"/>
    <row r="112" customFormat="1" s="215"/>
    <row r="113" customFormat="1" s="215"/>
    <row r="114" customFormat="1" s="215"/>
    <row r="115" customFormat="1" s="215"/>
    <row r="116" customFormat="1" s="215"/>
    <row r="117" customFormat="1" s="215"/>
    <row r="118" customFormat="1" s="215"/>
    <row r="119" customFormat="1" s="215"/>
    <row r="120" customFormat="1" s="215"/>
    <row r="121" customFormat="1" s="215"/>
    <row r="122" customFormat="1" s="215"/>
    <row r="123" customFormat="1" s="215"/>
    <row r="124" customFormat="1" s="215"/>
    <row r="125" customFormat="1" s="215"/>
    <row r="126" customFormat="1" s="215"/>
    <row r="127" customFormat="1" s="215"/>
    <row r="128" customFormat="1" s="215"/>
    <row r="129" customFormat="1" s="215"/>
    <row r="130" customFormat="1" s="215"/>
    <row r="131" customFormat="1" s="215"/>
    <row r="132" customFormat="1" s="215"/>
    <row r="133" customFormat="1" s="215"/>
    <row r="134" customFormat="1" s="215"/>
    <row r="135" customFormat="1" s="215"/>
    <row r="136" customFormat="1" s="215"/>
    <row r="137" customFormat="1" s="215"/>
    <row r="138" customFormat="1" s="215"/>
    <row r="139" customFormat="1" s="215"/>
    <row r="140" customFormat="1" s="215"/>
    <row r="141" customFormat="1" s="215"/>
    <row r="142" customFormat="1" s="215"/>
    <row r="143" customFormat="1" s="215"/>
    <row r="144" customFormat="1" s="215"/>
    <row r="145" customFormat="1" s="215"/>
    <row r="146" customFormat="1" s="215"/>
    <row r="147" customFormat="1" s="215"/>
    <row r="148" customFormat="1" s="215"/>
    <row r="149" customFormat="1" s="215"/>
    <row r="150" customFormat="1" s="215"/>
    <row r="151" customFormat="1" s="215"/>
    <row r="152" customFormat="1" s="215"/>
    <row r="153" customFormat="1" s="215"/>
    <row r="154" customFormat="1" s="215"/>
    <row r="155" customFormat="1" s="215"/>
    <row r="156" customFormat="1" s="215"/>
    <row r="157" customFormat="1" s="215"/>
    <row r="158" customFormat="1" s="215"/>
    <row r="159" customFormat="1" s="215"/>
    <row r="160" customFormat="1" s="215"/>
    <row r="161" customFormat="1" s="215"/>
    <row r="162" customFormat="1" s="215"/>
    <row r="163" customFormat="1" s="215"/>
    <row r="164" customFormat="1" s="215"/>
    <row r="165" customFormat="1" s="215"/>
    <row r="166" customFormat="1" s="215"/>
    <row r="167" customFormat="1" s="215"/>
    <row r="168" customFormat="1" s="215"/>
    <row r="169" customFormat="1" s="215"/>
    <row r="170" customFormat="1" s="215"/>
    <row r="171" customFormat="1" s="215"/>
    <row r="172" customFormat="1" s="215"/>
    <row r="173" customFormat="1" s="215"/>
    <row r="174" customFormat="1" s="215"/>
    <row r="175" customFormat="1" s="215"/>
    <row r="176" customFormat="1" s="215"/>
    <row r="177" customFormat="1" s="215"/>
    <row r="178" customFormat="1" s="215"/>
    <row r="179" customFormat="1" s="215"/>
    <row r="180" customFormat="1" s="215"/>
    <row r="181" customFormat="1" s="215"/>
    <row r="182" customFormat="1" s="215"/>
    <row r="183" customFormat="1" s="215"/>
    <row r="184" customFormat="1" s="215"/>
    <row r="185" customFormat="1" s="215"/>
    <row r="186" customFormat="1" s="215"/>
    <row r="187" customFormat="1" s="215"/>
    <row r="188" customFormat="1" s="215"/>
    <row r="189" customFormat="1" s="215"/>
    <row r="190" customFormat="1" s="215"/>
    <row r="191" customFormat="1" s="215"/>
    <row r="192" customFormat="1" s="215"/>
    <row r="193" customFormat="1" s="215"/>
    <row r="194" customFormat="1" s="215"/>
    <row r="195" customFormat="1" s="215"/>
    <row r="196" customFormat="1" s="215"/>
    <row r="197" customFormat="1" s="215"/>
    <row r="198" customFormat="1" s="215"/>
    <row r="199" customFormat="1" s="215"/>
    <row r="200" customFormat="1" s="215"/>
    <row r="201" customFormat="1" s="215"/>
    <row r="202" customFormat="1" s="215"/>
    <row r="203" customFormat="1" s="215"/>
    <row r="204" customFormat="1" s="215"/>
    <row r="205" customFormat="1" s="215"/>
    <row r="206" customFormat="1" s="215"/>
    <row r="207" customFormat="1" s="215"/>
    <row r="208" customFormat="1" s="215"/>
    <row r="209" customFormat="1" s="215"/>
    <row r="210" customFormat="1" s="215"/>
    <row r="211" customFormat="1" s="215"/>
    <row r="212" customFormat="1" s="215"/>
    <row r="213" customFormat="1" s="215"/>
    <row r="214" customFormat="1" s="215"/>
    <row r="215" customFormat="1" s="215"/>
    <row r="216" customFormat="1" s="215"/>
    <row r="217" customFormat="1" s="215"/>
    <row r="218" customFormat="1" s="215"/>
    <row r="219" customFormat="1" s="215"/>
    <row r="220" customFormat="1" s="215"/>
    <row r="221" customFormat="1" s="215"/>
    <row r="222" customFormat="1" s="215"/>
    <row r="223" customFormat="1" s="215"/>
    <row r="224" customFormat="1" s="215"/>
    <row r="225" customFormat="1" s="215"/>
    <row r="226" customFormat="1" s="215"/>
    <row r="227" customFormat="1" s="215"/>
    <row r="228" customFormat="1" s="215"/>
    <row r="229" customFormat="1" s="215"/>
    <row r="230" customFormat="1" s="215"/>
    <row r="231" customFormat="1" s="215"/>
    <row r="232" customFormat="1" s="215"/>
    <row r="233" customFormat="1" s="215"/>
    <row r="234" customFormat="1" s="215"/>
    <row r="235" customFormat="1" s="215"/>
    <row r="236" customFormat="1" s="215"/>
    <row r="237" customFormat="1" s="215"/>
    <row r="238" customFormat="1" s="215"/>
    <row r="239" customFormat="1" s="215"/>
    <row r="240" customFormat="1" s="215"/>
    <row r="241" customFormat="1" s="215"/>
    <row r="242" customFormat="1" s="215"/>
    <row r="243" customFormat="1" s="215"/>
    <row r="244" customFormat="1" s="215"/>
    <row r="245" customFormat="1" s="215"/>
    <row r="246" customFormat="1" s="215"/>
    <row r="247" customFormat="1" s="215"/>
    <row r="248" customFormat="1" s="215"/>
    <row r="249" customFormat="1" s="215"/>
    <row r="250" customFormat="1" s="215"/>
    <row r="251" customFormat="1" s="215"/>
    <row r="252" customFormat="1" s="215"/>
    <row r="253" customFormat="1" s="215"/>
    <row r="254" customFormat="1" s="215"/>
    <row r="255" customFormat="1" s="215"/>
    <row r="256" customFormat="1" s="215"/>
    <row r="257" customFormat="1" s="215"/>
    <row r="258" customFormat="1" s="215"/>
    <row r="259" customFormat="1" s="215"/>
    <row r="260" customFormat="1" s="215"/>
    <row r="261" customFormat="1" s="215"/>
    <row r="262" customFormat="1" s="215"/>
    <row r="263" customFormat="1" s="215"/>
    <row r="264" customFormat="1" s="215"/>
    <row r="265" customFormat="1" s="215"/>
    <row r="266" customFormat="1" s="215"/>
    <row r="267" customFormat="1" s="215"/>
    <row r="268" customFormat="1" s="215"/>
    <row r="269" customFormat="1" s="215"/>
    <row r="270" customFormat="1" s="215"/>
    <row r="271" customFormat="1" s="215"/>
    <row r="272" customFormat="1" s="215"/>
    <row r="273" customFormat="1" s="215"/>
    <row r="274" customFormat="1" s="215"/>
    <row r="275" customFormat="1" s="215"/>
    <row r="276" customFormat="1" s="215"/>
    <row r="277" customFormat="1" s="215"/>
    <row r="278" customFormat="1" s="215"/>
    <row r="279" customFormat="1" s="215"/>
    <row r="280" customFormat="1" s="215"/>
    <row r="281" customFormat="1" s="215"/>
    <row r="282" customFormat="1" s="215"/>
    <row r="283" customFormat="1" s="215"/>
    <row r="284" customFormat="1" s="215"/>
    <row r="285" customFormat="1" s="215"/>
    <row r="286" customFormat="1" s="215"/>
    <row r="287" customFormat="1" s="215"/>
    <row r="288" customFormat="1" s="215"/>
    <row r="289" customFormat="1" s="215"/>
    <row r="290" customFormat="1" s="215"/>
    <row r="291" customFormat="1" s="215"/>
    <row r="292" customFormat="1" s="215"/>
    <row r="293" customFormat="1" s="215"/>
    <row r="294" customFormat="1" s="215"/>
    <row r="295" customFormat="1" s="215"/>
    <row r="296" customFormat="1" s="215"/>
    <row r="297" customFormat="1" s="215"/>
    <row r="298" customFormat="1" s="215"/>
    <row r="299" customFormat="1" s="215"/>
    <row r="300" customFormat="1" s="215"/>
    <row r="301" customFormat="1" s="215"/>
    <row r="302" customFormat="1" s="215"/>
    <row r="303" customFormat="1" s="215"/>
    <row r="304" customFormat="1" s="215"/>
    <row r="305" customFormat="1" s="215"/>
    <row r="306" customFormat="1" s="215"/>
    <row r="307" customFormat="1" s="215"/>
    <row r="308" customFormat="1" s="215"/>
    <row r="309" customFormat="1" s="215"/>
    <row r="310" customFormat="1" s="215"/>
    <row r="311" customFormat="1" s="215"/>
    <row r="312" customFormat="1" s="215"/>
    <row r="313" customFormat="1" s="215"/>
    <row r="314" customFormat="1" s="215"/>
    <row r="315" customFormat="1" s="215"/>
    <row r="316" customFormat="1" s="215"/>
    <row r="317" customFormat="1" s="215"/>
    <row r="318" customFormat="1" s="215"/>
    <row r="319" customFormat="1" s="215"/>
    <row r="320" customFormat="1" s="215"/>
    <row r="321" customFormat="1" s="215"/>
    <row r="322" customFormat="1" s="215"/>
    <row r="323" customFormat="1" s="215"/>
    <row r="324" customFormat="1" s="215"/>
    <row r="325" customFormat="1" s="215"/>
    <row r="326" customFormat="1" s="215"/>
    <row r="327" customFormat="1" s="215"/>
    <row r="328" customFormat="1" s="215"/>
    <row r="329" customFormat="1" s="215"/>
    <row r="330" customFormat="1" s="215"/>
    <row r="331" customFormat="1" s="215"/>
    <row r="332" customFormat="1" s="215"/>
    <row r="333" customFormat="1" s="215"/>
    <row r="334" customFormat="1" s="215"/>
    <row r="335" customFormat="1" s="215"/>
    <row r="336" customFormat="1" s="215"/>
    <row r="337" customFormat="1" s="215"/>
    <row r="338" customFormat="1" s="215"/>
    <row r="339" customFormat="1" s="215"/>
    <row r="340" customFormat="1" s="215"/>
    <row r="341" customFormat="1" s="215"/>
    <row r="342" customFormat="1" s="215"/>
    <row r="343" customFormat="1" s="215"/>
    <row r="344" customFormat="1" s="215"/>
    <row r="345" customFormat="1" s="215"/>
    <row r="346" customFormat="1" s="215"/>
    <row r="347" customFormat="1" s="215"/>
    <row r="348" customFormat="1" s="215"/>
    <row r="349" customFormat="1" s="215"/>
    <row r="350" customFormat="1" s="215"/>
    <row r="351" customFormat="1" s="215"/>
    <row r="352" customFormat="1" s="215"/>
    <row r="353" customFormat="1" s="215"/>
    <row r="354" customFormat="1" s="215"/>
    <row r="355" customFormat="1" s="215"/>
    <row r="356" customFormat="1" s="215"/>
    <row r="357" customFormat="1" s="215"/>
    <row r="358" customFormat="1" s="215"/>
    <row r="359" customFormat="1" s="215"/>
    <row r="360" customFormat="1" s="215"/>
    <row r="361" customFormat="1" s="215"/>
    <row r="362" customFormat="1" s="215"/>
    <row r="363" customFormat="1" s="215"/>
    <row r="364" customFormat="1" s="215"/>
    <row r="365" customFormat="1" s="215"/>
    <row r="366" customFormat="1" s="215"/>
    <row r="367" customFormat="1" s="215"/>
    <row r="368" customFormat="1" s="215"/>
    <row r="369" customFormat="1" s="215"/>
    <row r="370" customFormat="1" s="215"/>
    <row r="371" customFormat="1" s="215"/>
    <row r="372" customFormat="1" s="215"/>
    <row r="373" customFormat="1" s="215"/>
    <row r="374" customFormat="1" s="215"/>
    <row r="375" customFormat="1" s="215"/>
    <row r="376" customFormat="1" s="215"/>
    <row r="377" customFormat="1" s="215"/>
    <row r="378" customFormat="1" s="215"/>
    <row r="379" customFormat="1" s="215"/>
    <row r="380" customFormat="1" s="215"/>
    <row r="381" customFormat="1" s="215"/>
    <row r="382" customFormat="1" s="215"/>
    <row r="383" customFormat="1" s="215"/>
    <row r="384" customFormat="1" s="215"/>
    <row r="385" customFormat="1" s="215"/>
    <row r="386" customFormat="1" s="215"/>
    <row r="387" customFormat="1" s="215"/>
    <row r="388" customFormat="1" s="215"/>
    <row r="389" customFormat="1" s="215"/>
    <row r="390" customFormat="1" s="215"/>
    <row r="391" customFormat="1" s="215"/>
    <row r="392" customFormat="1" s="215"/>
    <row r="393" customFormat="1" s="215"/>
    <row r="394" customFormat="1" s="215"/>
    <row r="395" customFormat="1" s="215"/>
    <row r="396" customFormat="1" s="215"/>
    <row r="397" customFormat="1" s="215"/>
    <row r="398" customFormat="1" s="215"/>
    <row r="399" customFormat="1" s="215"/>
    <row r="400" customFormat="1" s="215"/>
    <row r="401" customFormat="1" s="215"/>
    <row r="402" customFormat="1" s="215"/>
    <row r="403" customFormat="1" s="215"/>
    <row r="404" customFormat="1" s="215"/>
    <row r="405" customFormat="1" s="215"/>
    <row r="406" customFormat="1" s="215"/>
    <row r="407" customFormat="1" s="215"/>
    <row r="408" customFormat="1" s="215"/>
    <row r="409" customFormat="1" s="215"/>
    <row r="410" customFormat="1" s="215"/>
    <row r="411" customFormat="1" s="215"/>
    <row r="412" customFormat="1" s="215"/>
    <row r="413" customFormat="1" s="215"/>
    <row r="414" customFormat="1" s="215"/>
    <row r="415" customFormat="1" s="215"/>
    <row r="416" customFormat="1" s="215"/>
    <row r="417" customFormat="1" s="215"/>
    <row r="418" customFormat="1" s="215"/>
    <row r="419" customFormat="1" s="215"/>
    <row r="420" customFormat="1" s="215"/>
    <row r="421" customFormat="1" s="215"/>
    <row r="422" customFormat="1" s="215"/>
    <row r="423" customFormat="1" s="215"/>
    <row r="424" customFormat="1" s="215"/>
    <row r="425" customFormat="1" s="215"/>
    <row r="426" customFormat="1" s="215"/>
    <row r="427" customFormat="1" s="215"/>
    <row r="428" customFormat="1" s="215"/>
    <row r="429" customFormat="1" s="215"/>
    <row r="430" customFormat="1" s="215"/>
    <row r="431" customFormat="1" s="215"/>
    <row r="432" customFormat="1" s="215"/>
    <row r="433" customFormat="1" s="215"/>
    <row r="434" customFormat="1" s="215"/>
    <row r="435" customFormat="1" s="215"/>
    <row r="436" customFormat="1" s="215"/>
    <row r="437" customFormat="1" s="215"/>
    <row r="438" customFormat="1" s="215"/>
    <row r="439" customFormat="1" s="215"/>
    <row r="440" customFormat="1" s="215"/>
    <row r="441" customFormat="1" s="215"/>
    <row r="442" customFormat="1" s="215"/>
    <row r="443" customFormat="1" s="215"/>
    <row r="444" customFormat="1" s="215"/>
    <row r="445" customFormat="1" s="215"/>
    <row r="446" customFormat="1" s="215"/>
    <row r="447" customFormat="1" s="215"/>
    <row r="448" customFormat="1" s="215"/>
    <row r="449" customFormat="1" s="215"/>
    <row r="450" customFormat="1" s="215"/>
    <row r="451" customFormat="1" s="215"/>
    <row r="452" customFormat="1" s="215"/>
    <row r="453" customFormat="1" s="215"/>
    <row r="454" customFormat="1" s="215"/>
    <row r="455" customFormat="1" s="215"/>
    <row r="456" customFormat="1" s="215"/>
    <row r="457" customFormat="1" s="215"/>
    <row r="458" customFormat="1" s="215"/>
    <row r="459" customFormat="1" s="215"/>
    <row r="460" customFormat="1" s="215"/>
    <row r="461" customFormat="1" s="215"/>
    <row r="462" customFormat="1" s="215"/>
    <row r="463" customFormat="1" s="215"/>
    <row r="464" customFormat="1" s="215"/>
    <row r="465" customFormat="1" s="215"/>
    <row r="466" customFormat="1" s="215"/>
    <row r="467" customFormat="1" s="215"/>
    <row r="468" customFormat="1" s="215"/>
    <row r="469" customFormat="1" s="215"/>
    <row r="470" customFormat="1" s="215"/>
    <row r="471" customFormat="1" s="215"/>
    <row r="472" customFormat="1" s="215"/>
    <row r="473" customFormat="1" s="215"/>
    <row r="474" customFormat="1" s="215"/>
    <row r="475" customFormat="1" s="215"/>
    <row r="476" customFormat="1" s="215"/>
    <row r="477" customFormat="1" s="215"/>
    <row r="478" customFormat="1" s="215"/>
    <row r="479" customFormat="1" s="215"/>
    <row r="480" customFormat="1" s="215"/>
    <row r="481" customFormat="1" s="215"/>
    <row r="482" customFormat="1" s="215"/>
    <row r="483" customFormat="1" s="215"/>
    <row r="484" customFormat="1" s="215"/>
    <row r="485" customFormat="1" s="215"/>
    <row r="486" customFormat="1" s="215"/>
    <row r="487" customFormat="1" s="215"/>
    <row r="488" customFormat="1" s="215"/>
    <row r="489" customFormat="1" s="215"/>
    <row r="490" customFormat="1" s="215"/>
    <row r="491" customFormat="1" s="215"/>
    <row r="492" customFormat="1" s="215"/>
    <row r="493" customFormat="1" s="215"/>
    <row r="494" customFormat="1" s="215"/>
    <row r="495" customFormat="1" s="215"/>
    <row r="496" customFormat="1" s="215"/>
    <row r="497" customFormat="1" s="215"/>
    <row r="498" customFormat="1" s="215"/>
    <row r="499" customFormat="1" s="215"/>
    <row r="500" customFormat="1" s="215"/>
    <row r="501" customFormat="1" s="215"/>
    <row r="502" customFormat="1" s="215"/>
    <row r="503" customFormat="1" s="215"/>
    <row r="504" customFormat="1" s="215"/>
    <row r="505" customFormat="1" s="215"/>
    <row r="506" customFormat="1" s="215"/>
    <row r="507" customFormat="1" s="215"/>
    <row r="508" customFormat="1" s="215"/>
    <row r="509" customFormat="1" s="215"/>
    <row r="510" customFormat="1" s="215"/>
    <row r="511" customFormat="1" s="215"/>
    <row r="512" customFormat="1" s="215"/>
    <row r="513" customFormat="1" s="215"/>
    <row r="514" customFormat="1" s="215"/>
    <row r="515" customFormat="1" s="215"/>
    <row r="516" customFormat="1" s="215"/>
    <row r="517" customFormat="1" s="215"/>
    <row r="518" customFormat="1" s="215"/>
    <row r="519" customFormat="1" s="215"/>
    <row r="520" customFormat="1" s="215"/>
    <row r="521" customFormat="1" s="215"/>
    <row r="522" customFormat="1" s="215"/>
    <row r="523" customFormat="1" s="215"/>
    <row r="524" customFormat="1" s="215"/>
    <row r="525" customFormat="1" s="215"/>
    <row r="526" customFormat="1" s="215"/>
    <row r="527" customFormat="1" s="215"/>
    <row r="528" customFormat="1" s="215"/>
    <row r="529" customFormat="1" s="215"/>
    <row r="530" customFormat="1" s="215"/>
    <row r="531" customFormat="1" s="215"/>
    <row r="532" customFormat="1" s="215"/>
    <row r="533" customFormat="1" s="215"/>
    <row r="534" customFormat="1" s="215"/>
    <row r="535" customFormat="1" s="215"/>
    <row r="536" customFormat="1" s="215"/>
    <row r="537" customFormat="1" s="215"/>
    <row r="538" customFormat="1" s="215"/>
    <row r="539" customFormat="1" s="215"/>
    <row r="540" customFormat="1" s="215"/>
    <row r="541" customFormat="1" s="215"/>
    <row r="542" customFormat="1" s="215"/>
    <row r="543" customFormat="1" s="215"/>
    <row r="544" customFormat="1" s="215"/>
    <row r="545" customFormat="1" s="215"/>
    <row r="546" customFormat="1" s="215"/>
    <row r="547" customFormat="1" s="215"/>
    <row r="548" customFormat="1" s="215"/>
    <row r="549" customFormat="1" s="215"/>
    <row r="550" customFormat="1" s="215"/>
    <row r="551" customFormat="1" s="215"/>
    <row r="552" customFormat="1" s="215"/>
    <row r="553" customFormat="1" s="215"/>
    <row r="554" customFormat="1" s="215"/>
  </sheetData>
  <mergeCells count="119">
    <mergeCell ref="B62:C62"/>
    <mergeCell ref="B63:C63"/>
    <mergeCell ref="E51:G51"/>
    <mergeCell ref="E52:G52"/>
    <mergeCell ref="E53:G53"/>
    <mergeCell ref="E54:G54"/>
    <mergeCell ref="E55:G55"/>
    <mergeCell ref="E56:G56"/>
    <mergeCell ref="E57:G57"/>
    <mergeCell ref="E59:G59"/>
    <mergeCell ref="E58:G58"/>
    <mergeCell ref="E60:G60"/>
    <mergeCell ref="E61:G61"/>
    <mergeCell ref="E62:G62"/>
    <mergeCell ref="E63:G63"/>
    <mergeCell ref="B57:C57"/>
    <mergeCell ref="B58:C58"/>
    <mergeCell ref="B59:C59"/>
    <mergeCell ref="B60:C60"/>
    <mergeCell ref="B61:C61"/>
    <mergeCell ref="B56:C56"/>
    <mergeCell ref="B78:G78"/>
    <mergeCell ref="B85:G85"/>
    <mergeCell ref="B91:G91"/>
    <mergeCell ref="B96:G96"/>
    <mergeCell ref="B89:G89"/>
    <mergeCell ref="B94:G94"/>
    <mergeCell ref="B95:G95"/>
    <mergeCell ref="B90:G90"/>
    <mergeCell ref="B92:G92"/>
    <mergeCell ref="B93:G93"/>
    <mergeCell ref="B79:G79"/>
    <mergeCell ref="B80:G80"/>
    <mergeCell ref="B81:G81"/>
    <mergeCell ref="B82:G82"/>
    <mergeCell ref="B97:G97"/>
    <mergeCell ref="B84:G84"/>
    <mergeCell ref="B86:G86"/>
    <mergeCell ref="B87:G87"/>
    <mergeCell ref="B88:G88"/>
    <mergeCell ref="B40:G40"/>
    <mergeCell ref="B41:G41"/>
    <mergeCell ref="B28:G28"/>
    <mergeCell ref="B24:G24"/>
    <mergeCell ref="A75:G75"/>
    <mergeCell ref="E48:G48"/>
    <mergeCell ref="E49:G49"/>
    <mergeCell ref="E50:G50"/>
    <mergeCell ref="E64:G64"/>
    <mergeCell ref="B49:C49"/>
    <mergeCell ref="A65:G65"/>
    <mergeCell ref="B67:G67"/>
    <mergeCell ref="B69:G69"/>
    <mergeCell ref="B51:C51"/>
    <mergeCell ref="B52:C52"/>
    <mergeCell ref="B53:C53"/>
    <mergeCell ref="B54:C54"/>
    <mergeCell ref="B55:C55"/>
    <mergeCell ref="B37:G37"/>
    <mergeCell ref="B38:G38"/>
    <mergeCell ref="B39:G39"/>
    <mergeCell ref="B32:G32"/>
    <mergeCell ref="B33:G33"/>
    <mergeCell ref="B34:G34"/>
    <mergeCell ref="B35:G35"/>
    <mergeCell ref="B36:G36"/>
    <mergeCell ref="B30:G30"/>
    <mergeCell ref="B31:G31"/>
    <mergeCell ref="A22:G22"/>
    <mergeCell ref="B18:G18"/>
    <mergeCell ref="B16:G16"/>
    <mergeCell ref="B17:G17"/>
    <mergeCell ref="B29:G29"/>
    <mergeCell ref="B19:G19"/>
    <mergeCell ref="A21:G21"/>
    <mergeCell ref="B26:G26"/>
    <mergeCell ref="B27:G27"/>
    <mergeCell ref="B25:G25"/>
    <mergeCell ref="B23:G23"/>
    <mergeCell ref="A1:G1"/>
    <mergeCell ref="A10:G10"/>
    <mergeCell ref="B20:G20"/>
    <mergeCell ref="B13:G13"/>
    <mergeCell ref="B11:G11"/>
    <mergeCell ref="B12:G12"/>
    <mergeCell ref="B14:G14"/>
    <mergeCell ref="B15:G15"/>
    <mergeCell ref="A2:G2"/>
    <mergeCell ref="A5:G5"/>
    <mergeCell ref="A9:G9"/>
    <mergeCell ref="A4:G4"/>
    <mergeCell ref="A3:G3"/>
    <mergeCell ref="B6:G6"/>
    <mergeCell ref="B7:G7"/>
    <mergeCell ref="B8:G8"/>
    <mergeCell ref="A47:G47"/>
    <mergeCell ref="B42:G42"/>
    <mergeCell ref="D45:E45"/>
    <mergeCell ref="A43:G43"/>
    <mergeCell ref="A44:G44"/>
    <mergeCell ref="B45:C45"/>
    <mergeCell ref="F45:G45"/>
    <mergeCell ref="A46:G46"/>
    <mergeCell ref="A100:G100"/>
    <mergeCell ref="B64:C64"/>
    <mergeCell ref="B68:G68"/>
    <mergeCell ref="B50:C50"/>
    <mergeCell ref="B48:C48"/>
    <mergeCell ref="B83:G83"/>
    <mergeCell ref="A98:G98"/>
    <mergeCell ref="A99:G99"/>
    <mergeCell ref="A76:G76"/>
    <mergeCell ref="A71:G71"/>
    <mergeCell ref="A66:G66"/>
    <mergeCell ref="B72:G72"/>
    <mergeCell ref="B73:G73"/>
    <mergeCell ref="B74:G74"/>
    <mergeCell ref="B77:G77"/>
    <mergeCell ref="A70:G70"/>
  </mergeCells>
  <dataValidations xWindow="511" yWindow="580" count="3">
    <dataValidation sqref="A100" showErrorMessage="1" showInputMessage="1" allowBlank="1" promptTitle="Please use a complete sentence." prompt="If the well status is cased, state what it is cased for. _x000a__x000a_Example: &quot;Cased for potential Glauconitic oil production.&quot;" type="list">
      <formula1>"Cased for,Abandoned,Confidential,N/A"</formula1>
      <formula2>0</formula2>
    </dataValidation>
    <dataValidation sqref="B41" showErrorMessage="1" showInputMessage="1" allowBlank="1" type="list">
      <formula1>"Horizontal,Vertical,Deviated,Long reach deviated,Shingle,Multi-leg horizontal"</formula1>
      <formula2>0</formula2>
    </dataValidation>
    <dataValidation sqref="B12:F13" showErrorMessage="1" showInputMessage="1" allowBlank="1" promptTitle="Unique Well ID Examples:" prompt="_x000a_Alberta/Prairie: _x000a_100/3-10-54-19 W5/00_x000a__x000a_B.C.: _x000a_100/b-90-G/94-P-2_x000a__x000a_Saskatchewan: _x000a_191/3-2-30-19 W2/00_x000a_">
      <formula1>0</formula1>
      <formula2>0</formula2>
    </dataValidation>
  </dataValidations>
  <printOptions horizontalCentered="1"/>
  <pageMargins left="1" right="1" top="1.25" bottom="0.75" header="0.5" footer="0.3"/>
  <pageSetup orientation="portrait" firstPageNumber="0"/>
  <headerFooter>
    <oddHeader>&amp;R&amp;G</oddHeader>
    <oddFooter>&amp;L&amp;"Arial,Bold"&amp;K75004Bwww.rpsgroup.com&amp;R&amp;9 &amp;K00-049&amp;P</oddFooter>
    <evenHeader/>
    <evenFooter/>
    <firstHeader/>
    <firstFooter/>
  </headerFooter>
  <rowBreaks count="1" manualBreakCount="1">
    <brk id="70" min="0" max="6" man="1"/>
  </rowBreaks>
  <drawing r:id="rId1"/>
  <legacyDrawing r:id="anysvml"/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Y492"/>
  <sheetViews>
    <sheetView showZeros="0" topLeftCell="A6" zoomScaleNormal="100" zoomScaleSheetLayoutView="100" workbookViewId="0">
      <selection activeCell="B30" sqref="B30"/>
    </sheetView>
  </sheetViews>
  <sheetFormatPr baseColWidth="8" defaultColWidth="9.140625" defaultRowHeight="12.75"/>
  <cols>
    <col width="25.42578125" customWidth="1" style="40" min="1" max="1"/>
    <col width="8.7109375" customWidth="1" style="220" min="2" max="2"/>
    <col width="9.42578125" bestFit="1" customWidth="1" style="220" min="3" max="3"/>
    <col width="8.7109375" customWidth="1" style="220" min="4" max="4"/>
    <col width="9.42578125" bestFit="1" customWidth="1" style="220" min="5" max="5"/>
    <col width="8.7109375" customWidth="1" style="220" min="6" max="13"/>
    <col width="11.5703125" customWidth="1" style="220" min="14" max="14"/>
    <col width="9.140625" customWidth="1" style="220" min="15" max="18"/>
    <col width="9.140625" customWidth="1" style="220" min="19" max="20"/>
    <col width="9.140625" customWidth="1" style="220" min="21" max="25"/>
    <col width="9.140625" customWidth="1" style="220" min="26" max="16384"/>
  </cols>
  <sheetData>
    <row r="1" ht="23.25" customFormat="1" customHeight="1" s="241">
      <c r="A1" s="348" t="inlineStr">
        <is>
          <t>FORMATION TOPS</t>
        </is>
      </c>
      <c r="H1" s="348" t="n"/>
      <c r="O1" s="14" t="n"/>
      <c r="P1" s="14" t="n"/>
      <c r="Q1" s="14" t="n"/>
      <c r="U1" s="241" t="n"/>
      <c r="V1" s="241" t="n"/>
      <c r="W1" s="241" t="n"/>
      <c r="X1" s="241" t="n"/>
      <c r="Y1" s="241" t="n"/>
    </row>
    <row r="2" ht="15.6" customFormat="1" customHeight="1" s="215">
      <c r="A2" s="368" t="inlineStr">
        <is>
          <t>**Please do not add or remove any columns**</t>
        </is>
      </c>
      <c r="U2" s="215" t="n"/>
      <c r="V2" s="215" t="n"/>
      <c r="W2" s="215" t="n"/>
      <c r="X2" s="215" t="n"/>
      <c r="Y2" s="215" t="n"/>
    </row>
    <row r="3" ht="15.75" customFormat="1" customHeight="1" s="215">
      <c r="A3" s="41" t="inlineStr">
        <is>
          <t>G.L.</t>
        </is>
      </c>
      <c r="B3" s="517">
        <f>'Well Data'!B45</f>
        <v/>
      </c>
      <c r="H3" s="369" t="n"/>
      <c r="L3" s="369" t="n"/>
      <c r="N3" s="13" t="n"/>
      <c r="R3" s="215" t="inlineStr">
        <is>
          <t xml:space="preserve"> </t>
        </is>
      </c>
      <c r="U3" s="215" t="n"/>
      <c r="V3" s="215" t="n"/>
      <c r="W3" s="215" t="n"/>
      <c r="X3" s="215" t="n"/>
      <c r="Y3" s="215" t="n"/>
    </row>
    <row r="4" ht="15.75" customFormat="1" customHeight="1" s="215">
      <c r="A4" s="42" t="inlineStr">
        <is>
          <t>K.B.</t>
        </is>
      </c>
      <c r="B4" s="517">
        <f>'Well Data'!F45</f>
        <v/>
      </c>
      <c r="D4" s="369" t="n"/>
      <c r="E4" s="369" t="n"/>
      <c r="F4" s="12" t="n"/>
      <c r="G4" s="369" t="n"/>
      <c r="H4" s="369" t="n"/>
      <c r="I4" s="369" t="n"/>
      <c r="J4" s="12" t="n"/>
      <c r="K4" s="369" t="n"/>
      <c r="L4" s="369" t="n"/>
      <c r="M4" s="369" t="n"/>
      <c r="N4" s="13" t="n"/>
      <c r="U4" s="215" t="n"/>
      <c r="V4" s="215" t="n"/>
      <c r="W4" s="215" t="n"/>
      <c r="X4" s="215" t="n"/>
      <c r="Y4" s="215" t="n"/>
    </row>
    <row r="5" ht="15.75" customFormat="1" customHeight="1" s="215">
      <c r="A5" s="42" t="n"/>
      <c r="B5" s="518" t="n"/>
      <c r="C5" s="25" t="n"/>
      <c r="D5" s="369" t="n"/>
      <c r="E5" s="369" t="n"/>
      <c r="F5" s="12" t="n"/>
      <c r="G5" s="369" t="n"/>
      <c r="H5" s="369" t="n"/>
      <c r="I5" s="369" t="n"/>
      <c r="J5" s="12" t="n"/>
      <c r="K5" s="369" t="n"/>
      <c r="L5" s="369" t="n"/>
      <c r="M5" s="369" t="n"/>
      <c r="N5" s="13" t="n"/>
      <c r="U5" s="215" t="n"/>
      <c r="V5" s="215" t="n"/>
      <c r="W5" s="215" t="n"/>
      <c r="X5" s="215" t="n"/>
      <c r="Y5" s="215" t="n"/>
    </row>
    <row r="6" ht="15.75" customFormat="1" customHeight="1" s="215">
      <c r="A6" s="38" t="n"/>
      <c r="B6" s="10" t="n"/>
      <c r="C6" s="215" t="n"/>
      <c r="D6" s="215" t="n"/>
      <c r="E6" s="215" t="n"/>
      <c r="F6" s="215" t="n"/>
      <c r="G6" s="215" t="n"/>
      <c r="H6" s="215" t="n"/>
      <c r="I6" s="215" t="n"/>
      <c r="J6" s="215" t="n"/>
      <c r="K6" s="215" t="n"/>
      <c r="L6" s="215" t="n"/>
      <c r="M6" s="215" t="n"/>
      <c r="N6" s="215" t="n"/>
      <c r="U6" s="215" t="n"/>
      <c r="V6" s="215" t="n"/>
      <c r="W6" s="215" t="n"/>
      <c r="X6" s="215" t="n"/>
      <c r="Y6" s="215" t="n"/>
    </row>
    <row r="7" ht="15.75" customFormat="1" customHeight="1" s="215">
      <c r="A7" s="371" t="inlineStr">
        <is>
          <t>Formation</t>
        </is>
      </c>
      <c r="B7" s="519" t="inlineStr">
        <is>
          <t>Prognosis</t>
        </is>
      </c>
      <c r="C7" s="506" t="n"/>
      <c r="D7" s="506" t="n"/>
      <c r="E7" s="520" t="n"/>
      <c r="F7" s="519" t="inlineStr">
        <is>
          <t>Sample</t>
        </is>
      </c>
      <c r="G7" s="506" t="n"/>
      <c r="H7" s="506" t="n"/>
      <c r="I7" s="520" t="n"/>
      <c r="J7" s="519" t="inlineStr">
        <is>
          <t>Log</t>
        </is>
      </c>
      <c r="K7" s="506" t="n"/>
      <c r="L7" s="506" t="n"/>
      <c r="M7" s="520" t="n"/>
      <c r="N7" s="366" t="inlineStr">
        <is>
          <t xml:space="preserve">
high(+)
low(-)</t>
        </is>
      </c>
      <c r="O7" s="215" t="n"/>
      <c r="P7" s="215" t="n"/>
      <c r="Q7" s="215" t="n"/>
      <c r="R7" s="215" t="n"/>
      <c r="S7" s="215" t="n"/>
      <c r="U7" s="215" t="n"/>
      <c r="V7" s="215" t="n"/>
      <c r="W7" s="215" t="n"/>
      <c r="X7" s="215" t="n"/>
      <c r="Y7" s="215" t="n"/>
    </row>
    <row r="8" ht="26.25" customFormat="1" customHeight="1" s="215">
      <c r="A8" s="521" t="n"/>
      <c r="B8" s="66" t="inlineStr">
        <is>
          <t>MD
(m)</t>
        </is>
      </c>
      <c r="C8" s="67" t="inlineStr">
        <is>
          <t>TVD
(m)*</t>
        </is>
      </c>
      <c r="D8" s="67" t="inlineStr">
        <is>
          <t>SS
(m)</t>
        </is>
      </c>
      <c r="E8" s="68" t="inlineStr">
        <is>
          <t>Iso.</t>
        </is>
      </c>
      <c r="F8" s="66" t="inlineStr">
        <is>
          <t>MD
(m)</t>
        </is>
      </c>
      <c r="G8" s="67" t="inlineStr">
        <is>
          <t>TVD
(m)</t>
        </is>
      </c>
      <c r="H8" s="67" t="inlineStr">
        <is>
          <t>SS
(m)</t>
        </is>
      </c>
      <c r="I8" s="68" t="inlineStr">
        <is>
          <t>Iso.</t>
        </is>
      </c>
      <c r="J8" s="66" t="inlineStr">
        <is>
          <t>MD
(m)</t>
        </is>
      </c>
      <c r="K8" s="67" t="inlineStr">
        <is>
          <t>TVD
(m)</t>
        </is>
      </c>
      <c r="L8" s="67" t="inlineStr">
        <is>
          <t>SS
(m)</t>
        </is>
      </c>
      <c r="M8" s="68" t="inlineStr">
        <is>
          <t>Iso.</t>
        </is>
      </c>
      <c r="N8" s="522" t="n"/>
      <c r="U8" s="215" t="n"/>
      <c r="V8" s="215" t="n"/>
      <c r="W8" s="215" t="n"/>
      <c r="X8" s="215" t="n"/>
      <c r="Y8" s="215" t="n"/>
    </row>
    <row r="9" ht="15.75" customFormat="1" customHeight="1" s="215">
      <c r="A9" s="408" t="inlineStr">
        <is>
          <t>Milk River</t>
        </is>
      </c>
      <c r="B9" s="326" t="n">
        <v>127.4</v>
      </c>
      <c r="C9" s="323">
        <f>B$4-D9</f>
        <v/>
      </c>
      <c r="D9" s="327" t="n">
        <v>561.5</v>
      </c>
      <c r="E9" s="325">
        <f>IF(ISERR(Prog_ISO),"-",(Prog_ISO))</f>
        <v/>
      </c>
      <c r="F9" s="326" t="n">
        <v>127.1</v>
      </c>
      <c r="G9" s="327" t="n">
        <v>127.1</v>
      </c>
      <c r="H9" s="327">
        <f>B$4-G9</f>
        <v/>
      </c>
      <c r="I9" s="325">
        <f>IF(AND(H10=0,H9&lt;&gt;0),"-",H9-H10)</f>
        <v/>
      </c>
      <c r="J9" s="326" t="n"/>
      <c r="K9" s="327" t="n"/>
      <c r="L9" s="328">
        <f>IF(K9=0,0,$B$4-K9)</f>
        <v/>
      </c>
      <c r="M9" s="325">
        <f>IF(AND(L10=0,L9&lt;&gt;0),"-",L9-L10)</f>
        <v/>
      </c>
      <c r="N9" s="329">
        <f>H9-D9</f>
        <v/>
      </c>
      <c r="U9" s="215" t="n"/>
      <c r="V9" s="215" t="n"/>
      <c r="W9" s="215" t="n"/>
      <c r="X9" s="215" t="n"/>
      <c r="Y9" s="215" t="n"/>
    </row>
    <row r="10" ht="15.75" customFormat="1" customHeight="1" s="215">
      <c r="A10" s="70" t="inlineStr">
        <is>
          <t>Colorado</t>
        </is>
      </c>
      <c r="B10" s="326" t="n">
        <v>189.7</v>
      </c>
      <c r="C10" s="323">
        <f>B$4-D10</f>
        <v/>
      </c>
      <c r="D10" s="327" t="n">
        <v>499.2</v>
      </c>
      <c r="E10" s="325">
        <f>IF(ISERR(Prog_ISO),"-",(Prog_ISO))</f>
        <v/>
      </c>
      <c r="F10" s="326" t="n">
        <v>190.3</v>
      </c>
      <c r="G10" s="327" t="n">
        <v>190.3</v>
      </c>
      <c r="H10" s="327">
        <f>B$4-G10</f>
        <v/>
      </c>
      <c r="I10" s="325">
        <f>IF(AND(H11=0,H10&lt;&gt;0),"-",H10-H11)</f>
        <v/>
      </c>
      <c r="J10" s="326" t="n"/>
      <c r="K10" s="327" t="n"/>
      <c r="L10" s="328">
        <f>IF(K10=0,0,$B$4-K10)</f>
        <v/>
      </c>
      <c r="M10" s="325">
        <f>IF(AND(L11=0,L10&lt;&gt;0),"-",L10-L11)</f>
        <v/>
      </c>
      <c r="N10" s="329">
        <f>H10-D10</f>
        <v/>
      </c>
      <c r="S10" s="215" t="n"/>
      <c r="U10" s="215" t="n"/>
      <c r="V10" s="215" t="n"/>
      <c r="W10" s="215" t="n"/>
      <c r="X10" s="215" t="n"/>
      <c r="Y10" s="215" t="n"/>
    </row>
    <row r="11" ht="15.75" customFormat="1" customHeight="1" s="215">
      <c r="A11" s="70" t="inlineStr">
        <is>
          <t>Second White Specs</t>
        </is>
      </c>
      <c r="B11" s="326" t="n">
        <v>254.2</v>
      </c>
      <c r="C11" s="323">
        <f>B$4-D11</f>
        <v/>
      </c>
      <c r="D11" s="327" t="n">
        <v>435</v>
      </c>
      <c r="E11" s="325">
        <f>IF(ISERR(Prog_ISO),"-",(Prog_ISO))</f>
        <v/>
      </c>
      <c r="F11" s="326" t="n">
        <v>254.6</v>
      </c>
      <c r="G11" s="327" t="n">
        <v>254.6</v>
      </c>
      <c r="H11" s="327">
        <f>B$4-G11</f>
        <v/>
      </c>
      <c r="I11" s="325">
        <f>IF(AND(H12=0,H11&lt;&gt;0),"-",H11-H12)</f>
        <v/>
      </c>
      <c r="J11" s="326" t="n"/>
      <c r="K11" s="327" t="n"/>
      <c r="L11" s="328">
        <f>IF(K11=0,0,$B$4-K11)</f>
        <v/>
      </c>
      <c r="M11" s="325">
        <f>IF(AND(L12=0,L11&lt;&gt;0),"-",L11-L12)</f>
        <v/>
      </c>
      <c r="N11" s="329">
        <f>H11-D11</f>
        <v/>
      </c>
      <c r="U11" s="215" t="n"/>
      <c r="V11" s="215" t="n"/>
      <c r="W11" s="215" t="n"/>
      <c r="X11" s="215" t="n"/>
      <c r="Y11" s="215" t="n"/>
    </row>
    <row r="12" ht="15.75" customFormat="1" customHeight="1" s="215">
      <c r="A12" s="70" t="inlineStr">
        <is>
          <t>KOP</t>
        </is>
      </c>
      <c r="B12" s="326" t="n">
        <v>285</v>
      </c>
      <c r="C12" s="323">
        <f>B$4-D12</f>
        <v/>
      </c>
      <c r="D12" s="327" t="n">
        <v>403.9</v>
      </c>
      <c r="E12" s="325">
        <f>IF(ISERR(Prog_ISO),"-",(Prog_ISO))</f>
        <v/>
      </c>
      <c r="F12" s="326" t="n">
        <v>282</v>
      </c>
      <c r="G12" s="327" t="n">
        <v>282</v>
      </c>
      <c r="H12" s="327">
        <f>B$4-G12</f>
        <v/>
      </c>
      <c r="I12" s="325">
        <f>IF(AND(H13=0,H12&lt;&gt;0),"-",H12-H13)</f>
        <v/>
      </c>
      <c r="J12" s="326" t="n"/>
      <c r="K12" s="327" t="n"/>
      <c r="L12" s="328">
        <f>IF(K12=0,0,$B$4-K12)</f>
        <v/>
      </c>
      <c r="M12" s="325">
        <f>IF(AND(L13=0,L12&lt;&gt;0),"-",L12-L13)</f>
        <v/>
      </c>
      <c r="N12" s="329">
        <f>H12-D12</f>
        <v/>
      </c>
      <c r="U12" s="215" t="n"/>
      <c r="V12" s="215" t="n"/>
      <c r="W12" s="215" t="n"/>
      <c r="X12" s="215" t="n"/>
      <c r="Y12" s="215" t="n"/>
    </row>
    <row r="13" ht="15.75" customFormat="1" customHeight="1" s="215">
      <c r="A13" s="70" t="inlineStr">
        <is>
          <t>Base of Fish Scales</t>
        </is>
      </c>
      <c r="B13" s="326" t="n">
        <v>348.73</v>
      </c>
      <c r="C13" s="323">
        <f>B$4-D13</f>
        <v/>
      </c>
      <c r="D13" s="327" t="n">
        <v>341.5</v>
      </c>
      <c r="E13" s="325">
        <f>IF(ISERR(Prog_ISO),"-",(Prog_ISO))</f>
        <v/>
      </c>
      <c r="F13" s="326" t="n">
        <v>348.7</v>
      </c>
      <c r="G13" s="327" t="n">
        <v>348</v>
      </c>
      <c r="H13" s="327">
        <f>B$4-G13</f>
        <v/>
      </c>
      <c r="I13" s="325">
        <f>IF(AND(H14=0,H13&lt;&gt;0),"-",H13-H14)</f>
        <v/>
      </c>
      <c r="J13" s="326" t="n"/>
      <c r="K13" s="327" t="n"/>
      <c r="L13" s="328">
        <f>IF(K13=0,0,$B$4-K13)</f>
        <v/>
      </c>
      <c r="M13" s="325">
        <f>IF(AND(L14=0,L13&lt;&gt;0),"-",L13-L14)</f>
        <v/>
      </c>
      <c r="N13" s="329">
        <f>H13-D13</f>
        <v/>
      </c>
      <c r="U13" s="215" t="n"/>
      <c r="V13" s="215" t="n"/>
      <c r="W13" s="215" t="n"/>
      <c r="X13" s="215" t="n"/>
      <c r="Y13" s="215" t="n"/>
    </row>
    <row r="14" ht="15.75" customFormat="1" customHeight="1" s="18">
      <c r="A14" s="70" t="inlineStr">
        <is>
          <t>Viking</t>
        </is>
      </c>
      <c r="B14" s="326" t="n">
        <v>387.82</v>
      </c>
      <c r="C14" s="323">
        <f>B$4-D14</f>
        <v/>
      </c>
      <c r="D14" s="327" t="n">
        <v>303.3</v>
      </c>
      <c r="E14" s="325">
        <f>IF(ISERR(Prog_ISO),"-",(Prog_ISO))</f>
        <v/>
      </c>
      <c r="F14" s="326" t="n">
        <v>387.1</v>
      </c>
      <c r="G14" s="327" t="n">
        <v>384.8</v>
      </c>
      <c r="H14" s="327">
        <f>B$4-G14</f>
        <v/>
      </c>
      <c r="I14" s="325">
        <f>IF(AND(H15=0,H14&lt;&gt;0),"-",H14-H15)</f>
        <v/>
      </c>
      <c r="J14" s="326" t="n"/>
      <c r="K14" s="327" t="n"/>
      <c r="L14" s="328">
        <f>IF(K14=0,0,$B$4-K14)</f>
        <v/>
      </c>
      <c r="M14" s="325">
        <f>IF(AND(L15=0,L14&lt;&gt;0),"-",L14-L15)</f>
        <v/>
      </c>
      <c r="N14" s="329">
        <f>H14-D14</f>
        <v/>
      </c>
      <c r="U14" s="18" t="n"/>
      <c r="V14" s="18" t="n"/>
      <c r="W14" s="18" t="n"/>
      <c r="X14" s="18" t="n"/>
      <c r="Y14" s="18" t="n"/>
    </row>
    <row r="15" ht="15.75" customFormat="1" customHeight="1" s="18">
      <c r="A15" s="70" t="inlineStr">
        <is>
          <t>Joli Fou</t>
        </is>
      </c>
      <c r="B15" s="326" t="n">
        <v>414.08</v>
      </c>
      <c r="C15" s="323">
        <f>B$4-D15</f>
        <v/>
      </c>
      <c r="D15" s="327" t="n">
        <v>279</v>
      </c>
      <c r="E15" s="325">
        <f>IF(ISERR(Prog_ISO),"-",(Prog_ISO))</f>
        <v/>
      </c>
      <c r="F15" s="326" t="n">
        <v>413.7</v>
      </c>
      <c r="G15" s="327" t="n">
        <v>409.2</v>
      </c>
      <c r="H15" s="327">
        <f>B$4-G15</f>
        <v/>
      </c>
      <c r="I15" s="325">
        <f>IF(AND(H16=0,H15&lt;&gt;0),"-",H15-H16)</f>
        <v/>
      </c>
      <c r="J15" s="326" t="n"/>
      <c r="K15" s="327" t="n"/>
      <c r="L15" s="328">
        <f>IF(K15=0,0,$B$4-K15)</f>
        <v/>
      </c>
      <c r="M15" s="325">
        <f>IF(AND(L16=0,L15&lt;&gt;0),"-",L15-L16)</f>
        <v/>
      </c>
      <c r="N15" s="329">
        <f>H15-D15</f>
        <v/>
      </c>
      <c r="U15" s="18" t="n"/>
      <c r="V15" s="18" t="n"/>
      <c r="W15" s="18" t="n"/>
      <c r="X15" s="18" t="n"/>
      <c r="Y15" s="18" t="n"/>
    </row>
    <row r="16" ht="15.75" customFormat="1" customHeight="1" s="18">
      <c r="A16" s="70" t="inlineStr">
        <is>
          <t>Grand Rapids</t>
        </is>
      </c>
      <c r="B16" s="326" t="n">
        <v>435.17</v>
      </c>
      <c r="C16" s="323">
        <f>B$4-D16</f>
        <v/>
      </c>
      <c r="D16" s="327" t="n">
        <v>260.6</v>
      </c>
      <c r="E16" s="325">
        <f>IF(ISERR(Prog_ISO),"-",(Prog_ISO))</f>
        <v/>
      </c>
      <c r="F16" s="326" t="n">
        <v>436</v>
      </c>
      <c r="G16" s="327" t="n">
        <v>428.9</v>
      </c>
      <c r="H16" s="327">
        <f>B$4-G16</f>
        <v/>
      </c>
      <c r="I16" s="325">
        <f>IF(AND(H17=0,H16&lt;&gt;0),"-",H16-H17)</f>
        <v/>
      </c>
      <c r="J16" s="326" t="n"/>
      <c r="K16" s="327" t="n"/>
      <c r="L16" s="328">
        <f>IF(K16=0,0,$B$4-K16)</f>
        <v/>
      </c>
      <c r="M16" s="325">
        <f>IF(AND(L17=0,L16&lt;&gt;0),"-",L16-L17)</f>
        <v/>
      </c>
      <c r="N16" s="329">
        <f>H16-D16</f>
        <v/>
      </c>
      <c r="U16" s="18" t="n"/>
      <c r="V16" s="18" t="n"/>
      <c r="W16" s="18" t="n"/>
      <c r="X16" s="18" t="n"/>
      <c r="Y16" s="18" t="n"/>
    </row>
    <row r="17" ht="15.75" customFormat="1" customHeight="1" s="18">
      <c r="A17" s="70" t="inlineStr">
        <is>
          <t>M. Grand Rapids</t>
        </is>
      </c>
      <c r="B17" s="326" t="n">
        <v>467.93</v>
      </c>
      <c r="C17" s="323">
        <f>B$4-D17</f>
        <v/>
      </c>
      <c r="D17" s="327" t="n">
        <v>233.3</v>
      </c>
      <c r="E17" s="325">
        <f>IF(ISERR(Prog_ISO),"-",(Prog_ISO))</f>
        <v/>
      </c>
      <c r="F17" s="326" t="n">
        <v>468.2</v>
      </c>
      <c r="G17" s="327" t="n">
        <v>455.6</v>
      </c>
      <c r="H17" s="327">
        <f>B$4-G17</f>
        <v/>
      </c>
      <c r="I17" s="325">
        <f>IF(AND(H20=0,H17&lt;&gt;0),"-",H17-H20)</f>
        <v/>
      </c>
      <c r="J17" s="326" t="n"/>
      <c r="K17" s="327" t="n"/>
      <c r="L17" s="328">
        <f>IF(K17=0,0,$B$4-K17)</f>
        <v/>
      </c>
      <c r="M17" s="325">
        <f>IF(AND(L20=0,L17&lt;&gt;0),"-",L17-L20)</f>
        <v/>
      </c>
      <c r="N17" s="329">
        <f>H17-D17</f>
        <v/>
      </c>
      <c r="U17" s="18" t="n"/>
      <c r="V17" s="18" t="n"/>
      <c r="W17" s="18" t="n"/>
      <c r="X17" s="18" t="n"/>
      <c r="Y17" s="18" t="n"/>
    </row>
    <row r="18" ht="15.75" customFormat="1" customHeight="1" s="18">
      <c r="A18" s="70" t="inlineStr">
        <is>
          <t>L. Grand Rapids</t>
        </is>
      </c>
      <c r="B18" s="326" t="n">
        <v>534.71</v>
      </c>
      <c r="C18" s="323">
        <f>B$4-D18</f>
        <v/>
      </c>
      <c r="D18" s="327" t="n">
        <v>185</v>
      </c>
      <c r="E18" s="325">
        <f>IF(ISERR(Prog_ISO),"-",(Prog_ISO))</f>
        <v/>
      </c>
      <c r="F18" s="326" t="n">
        <v>535.5</v>
      </c>
      <c r="G18" s="327" t="n">
        <v>503.9</v>
      </c>
      <c r="H18" s="327">
        <f>B$4-G18</f>
        <v/>
      </c>
      <c r="I18" s="325">
        <f>IF(AND(H21=0,H18&lt;&gt;0),"-",H18-H21)</f>
        <v/>
      </c>
      <c r="J18" s="326" t="n"/>
      <c r="K18" s="327" t="n"/>
      <c r="L18" s="328">
        <f>IF(K18=0,0,$B$4-K18)</f>
        <v/>
      </c>
      <c r="M18" s="325">
        <f>IF(AND(L21=0,L18&lt;&gt;0),"-",L18-L21)</f>
        <v/>
      </c>
      <c r="N18" s="329">
        <f>H18-D18</f>
        <v/>
      </c>
      <c r="U18" s="18" t="n"/>
      <c r="V18" s="18" t="n"/>
      <c r="W18" s="18" t="n"/>
      <c r="X18" s="18" t="n"/>
      <c r="Y18" s="18" t="n"/>
    </row>
    <row r="19" ht="15.75" customFormat="1" customHeight="1" s="18">
      <c r="A19" s="70" t="inlineStr">
        <is>
          <t>Clearwater</t>
        </is>
      </c>
      <c r="B19" s="326" t="n">
        <v>568.48</v>
      </c>
      <c r="C19" s="323">
        <f>B$4-D19</f>
        <v/>
      </c>
      <c r="D19" s="327" t="n">
        <v>165.2</v>
      </c>
      <c r="E19" s="325">
        <f>IF(ISERR(Prog_ISO),"-",(Prog_ISO))</f>
        <v/>
      </c>
      <c r="F19" s="326" t="n">
        <v>568.7</v>
      </c>
      <c r="G19" s="327" t="n">
        <v>523.3</v>
      </c>
      <c r="H19" s="327">
        <f>B$4-G19</f>
        <v/>
      </c>
      <c r="I19" s="325">
        <f>IF(AND(H22=0,H19&lt;&gt;0),"-",H19-H22)</f>
        <v/>
      </c>
      <c r="J19" s="326" t="n"/>
      <c r="K19" s="327" t="n"/>
      <c r="L19" s="328">
        <f>IF(K19=0,0,$B$4-K19)</f>
        <v/>
      </c>
      <c r="M19" s="325">
        <f>IF(AND(L22=0,L19&lt;&gt;0),"-",L19-L22)</f>
        <v/>
      </c>
      <c r="N19" s="329">
        <f>H19-D19</f>
        <v/>
      </c>
      <c r="U19" s="18" t="n"/>
      <c r="V19" s="18" t="n"/>
      <c r="W19" s="18" t="n"/>
      <c r="X19" s="18" t="n"/>
      <c r="Y19" s="18" t="n"/>
    </row>
    <row r="20" ht="15.75" customFormat="1" customHeight="1" s="18">
      <c r="A20" s="70" t="inlineStr">
        <is>
          <t>Clearwater 'A'</t>
        </is>
      </c>
      <c r="B20" s="326" t="n">
        <v>667.88</v>
      </c>
      <c r="C20" s="323">
        <f>B$4-D20</f>
        <v/>
      </c>
      <c r="D20" s="327" t="n">
        <v>125.7</v>
      </c>
      <c r="E20" s="325">
        <f>IF(ISERR(Prog_ISO),"-",(Prog_ISO))</f>
        <v/>
      </c>
      <c r="F20" s="326" t="n">
        <v>670</v>
      </c>
      <c r="G20" s="327" t="n">
        <v>563.2</v>
      </c>
      <c r="H20" s="327">
        <f>B$4-G20</f>
        <v/>
      </c>
      <c r="I20" s="325">
        <f>IF(AND(H21=0,H20&lt;&gt;0),"-",H20-H21)</f>
        <v/>
      </c>
      <c r="J20" s="326" t="n"/>
      <c r="K20" s="327" t="n"/>
      <c r="L20" s="328">
        <f>IF(K20=0,0,$B$4-K20)</f>
        <v/>
      </c>
      <c r="M20" s="325">
        <f>IF(AND(L21=0,L20&lt;&gt;0),"-",L20-L21)</f>
        <v/>
      </c>
      <c r="N20" s="329">
        <f>H20-D20</f>
        <v/>
      </c>
      <c r="U20" s="18" t="n"/>
      <c r="V20" s="18" t="n"/>
      <c r="W20" s="18" t="n"/>
      <c r="X20" s="18" t="n"/>
      <c r="Y20" s="18" t="n"/>
    </row>
    <row r="21" ht="15.75" customFormat="1" customHeight="1" s="18">
      <c r="A21" s="70" t="inlineStr">
        <is>
          <t>ICP</t>
        </is>
      </c>
      <c r="B21" s="326" t="n">
        <v>797.0599999999999</v>
      </c>
      <c r="C21" s="323">
        <f>B$4-D21</f>
        <v/>
      </c>
      <c r="D21" s="327" t="n">
        <v>111.2</v>
      </c>
      <c r="E21" s="325">
        <f>IF(ISERR(Prog_ISO),"-",(Prog_ISO))</f>
        <v/>
      </c>
      <c r="F21" s="326" t="n">
        <v>793</v>
      </c>
      <c r="G21" s="327" t="n">
        <v>577.6</v>
      </c>
      <c r="H21" s="327">
        <f>B$4-G21</f>
        <v/>
      </c>
      <c r="I21" s="325">
        <f>IF(AND(H22=0,H21&lt;&gt;0),"-",H21-H22)</f>
        <v/>
      </c>
      <c r="J21" s="326" t="n"/>
      <c r="K21" s="327" t="n"/>
      <c r="L21" s="328">
        <f>IF(K21=0,0,$B$4-K21)</f>
        <v/>
      </c>
      <c r="M21" s="325">
        <f>IF(AND(L25=0,L21&lt;&gt;0),"-",L21-L25)</f>
        <v/>
      </c>
      <c r="N21" s="329">
        <f>H21-D21</f>
        <v/>
      </c>
      <c r="U21" s="18" t="n"/>
      <c r="V21" s="18" t="n"/>
      <c r="W21" s="18" t="n"/>
      <c r="X21" s="18" t="n"/>
      <c r="Y21" s="18" t="n"/>
    </row>
    <row r="22" ht="15.75" customFormat="1" customHeight="1" s="18">
      <c r="A22" s="70" t="inlineStr">
        <is>
          <t>Leg #1 TD</t>
        </is>
      </c>
      <c r="B22" s="326" t="n">
        <v>2714.6</v>
      </c>
      <c r="C22" s="323">
        <f>B$4-D22</f>
        <v/>
      </c>
      <c r="D22" s="327" t="n">
        <v>107.5</v>
      </c>
      <c r="E22" s="325">
        <f>IF(ISERR(Prog_ISO),"-",(Prog_ISO))</f>
        <v/>
      </c>
      <c r="F22" s="326" t="n">
        <v>2707</v>
      </c>
      <c r="G22" s="327" t="n">
        <v>578.28</v>
      </c>
      <c r="H22" s="327">
        <f>B$4-G22</f>
        <v/>
      </c>
      <c r="I22" s="325">
        <f>IF(AND(H23=0,H22&lt;&gt;0),"-",H22-H23)</f>
        <v/>
      </c>
      <c r="J22" s="326" t="n"/>
      <c r="K22" s="327" t="n"/>
      <c r="L22" s="328">
        <f>IF(K22=0,0,$B$4-K22)</f>
        <v/>
      </c>
      <c r="M22" s="325">
        <f>IF(AND(L26=0,L22&lt;&gt;0),"-",L22-L26)</f>
        <v/>
      </c>
      <c r="N22" s="329">
        <f>H22-D22</f>
        <v/>
      </c>
      <c r="U22" s="18" t="n"/>
      <c r="V22" s="18" t="n"/>
      <c r="W22" s="18" t="n"/>
      <c r="X22" s="18" t="n"/>
      <c r="Y22" s="18" t="n"/>
    </row>
    <row r="23" ht="15.75" customFormat="1" customHeight="1" s="18">
      <c r="A23" s="70" t="inlineStr">
        <is>
          <t>STP #2</t>
        </is>
      </c>
      <c r="B23" s="326" t="n">
        <v>1012</v>
      </c>
      <c r="C23" s="323">
        <f>B$4-D23</f>
        <v/>
      </c>
      <c r="D23" s="327" t="n">
        <v>111.18</v>
      </c>
      <c r="E23" s="325">
        <f>IF(ISERR(Prog_ISO),"-",(Prog_ISO))</f>
        <v/>
      </c>
      <c r="F23" s="326" t="n">
        <v>1007</v>
      </c>
      <c r="G23" s="327" t="n">
        <v>576.6</v>
      </c>
      <c r="H23" s="327">
        <f>B$4-G23</f>
        <v/>
      </c>
      <c r="I23" s="325">
        <f>IF(AND(H24=0,H23&lt;&gt;0),"-",H23-H24)</f>
        <v/>
      </c>
      <c r="J23" s="326" t="n"/>
      <c r="K23" s="327" t="n"/>
      <c r="L23" s="328">
        <f>IF(K23=0,0,$B$4-K23)</f>
        <v/>
      </c>
      <c r="M23" s="325">
        <f>IF(AND(L26=0,L23&lt;&gt;0),"-",L23-L26)</f>
        <v/>
      </c>
      <c r="N23" s="329">
        <f>H23-D23</f>
        <v/>
      </c>
      <c r="U23" s="18" t="n"/>
      <c r="V23" s="18" t="n"/>
      <c r="W23" s="18" t="n"/>
      <c r="X23" s="18" t="n"/>
      <c r="Y23" s="18" t="n"/>
    </row>
    <row r="24" ht="15.75" customFormat="1" customHeight="1" s="18">
      <c r="A24" s="70" t="inlineStr">
        <is>
          <t>Leg #2 TD</t>
        </is>
      </c>
      <c r="B24" s="326" t="n">
        <v>2673.54</v>
      </c>
      <c r="C24" s="323">
        <f>B$4-D24</f>
        <v/>
      </c>
      <c r="D24" s="327" t="n">
        <v>107</v>
      </c>
      <c r="E24" s="325">
        <f>IF(ISERR(Prog_ISO),"-",(Prog_ISO))</f>
        <v/>
      </c>
      <c r="F24" s="326" t="n">
        <v>2273</v>
      </c>
      <c r="G24" s="327" t="n">
        <v>579.4</v>
      </c>
      <c r="H24" s="327">
        <f>B$4-G24</f>
        <v/>
      </c>
      <c r="I24" s="325">
        <f>IF(AND(H25=0,H24&lt;&gt;0),"-",H24-H25)</f>
        <v/>
      </c>
      <c r="J24" s="326" t="n"/>
      <c r="K24" s="327" t="n"/>
      <c r="L24" s="328">
        <f>IF(K24=0,0,$B$4-K24)</f>
        <v/>
      </c>
      <c r="M24" s="325">
        <f>IF(AND(L27=0,L24&lt;&gt;0),"-",L24-L27)</f>
        <v/>
      </c>
      <c r="N24" s="329">
        <f>H24-D24</f>
        <v/>
      </c>
      <c r="U24" s="18" t="n"/>
      <c r="V24" s="18" t="n"/>
      <c r="W24" s="18" t="n"/>
      <c r="X24" s="18" t="n"/>
      <c r="Y24" s="18" t="n"/>
    </row>
    <row r="25" ht="15.75" customFormat="1" customHeight="1" s="18">
      <c r="A25" s="70" t="inlineStr">
        <is>
          <t>STP #3</t>
        </is>
      </c>
      <c r="B25" s="326" t="n">
        <v>893.5</v>
      </c>
      <c r="C25" s="323">
        <f>B$4-D25</f>
        <v/>
      </c>
      <c r="D25" s="327" t="n">
        <v>111.47</v>
      </c>
      <c r="E25" s="325">
        <f>IF(ISERR(Prog_ISO),"-",(Prog_ISO))</f>
        <v/>
      </c>
      <c r="F25" s="326" t="n">
        <v>890</v>
      </c>
      <c r="G25" s="327" t="n">
        <v>577.2</v>
      </c>
      <c r="H25" s="327">
        <f>B$4-G25</f>
        <v/>
      </c>
      <c r="I25" s="325">
        <f>IF(AND(H26=0,H25&lt;&gt;0),"-",H25-H26)</f>
        <v/>
      </c>
      <c r="J25" s="326" t="n"/>
      <c r="K25" s="327" t="n"/>
      <c r="L25" s="328">
        <f>IF(K25=0,0,$B$4-K25)</f>
        <v/>
      </c>
      <c r="M25" s="325">
        <f>IF(AND(L26=0,L25&lt;&gt;0),"-",L25-L26)</f>
        <v/>
      </c>
      <c r="N25" s="329">
        <f>H25-D25</f>
        <v/>
      </c>
      <c r="U25" s="18" t="n"/>
      <c r="V25" s="18" t="n"/>
      <c r="W25" s="18" t="n"/>
      <c r="X25" s="18" t="n"/>
      <c r="Y25" s="18" t="n"/>
    </row>
    <row r="26">
      <c r="A26" s="70" t="inlineStr">
        <is>
          <t>Leg #3 TD</t>
        </is>
      </c>
      <c r="B26" s="326" t="n">
        <v>2599.57</v>
      </c>
      <c r="C26" s="323">
        <f>B$4-D26</f>
        <v/>
      </c>
      <c r="D26" s="327" t="n">
        <v>106</v>
      </c>
      <c r="E26" s="325">
        <f>IF(ISERR(Prog_ISO),"-",(Prog_ISO))</f>
        <v/>
      </c>
      <c r="F26" s="326" t="n">
        <v>2550</v>
      </c>
      <c r="G26" s="327" t="n">
        <v>580.9</v>
      </c>
      <c r="H26" s="327">
        <f>B$4-G26</f>
        <v/>
      </c>
      <c r="I26" s="325">
        <f>IF(AND(H27=0,H26&lt;&gt;0),"-",H26-H27)</f>
        <v/>
      </c>
      <c r="J26" s="326" t="n"/>
      <c r="K26" s="327" t="n"/>
      <c r="L26" s="328">
        <f>IF(K26=0,0,$B$4-K26)</f>
        <v/>
      </c>
      <c r="M26" s="325">
        <f>IF(AND(L27=0,L26&lt;&gt;0),"-",L26-L27)</f>
        <v/>
      </c>
      <c r="N26" s="329">
        <f>H26-D26</f>
        <v/>
      </c>
    </row>
    <row r="27" ht="15.75" customFormat="1" customHeight="1" s="215">
      <c r="A27" s="70" t="inlineStr">
        <is>
          <t>STP #4</t>
        </is>
      </c>
      <c r="B27" s="326" t="n">
        <v>827.0599999999999</v>
      </c>
      <c r="C27" s="323">
        <f>B$4-D27</f>
        <v/>
      </c>
      <c r="D27" s="327" t="n">
        <v>111.61</v>
      </c>
      <c r="E27" s="325">
        <f>IF(ISERR(Prog_ISO),"-",(Prog_ISO))</f>
        <v/>
      </c>
      <c r="F27" s="326" t="n">
        <v>825</v>
      </c>
      <c r="G27" s="327" t="n"/>
      <c r="H27" s="327">
        <f>B$4-G27</f>
        <v/>
      </c>
      <c r="I27" s="325">
        <f>IF(AND(H28=0,H27&lt;&gt;0),"-",H27-H28)</f>
        <v/>
      </c>
      <c r="J27" s="326" t="n"/>
      <c r="K27" s="327" t="n"/>
      <c r="L27" s="328">
        <f>IF(K27=0,0,$B$4-K27)</f>
        <v/>
      </c>
      <c r="M27" s="325">
        <f>IF(AND(L28=0,L27&lt;&gt;0),"-",L27-L28)</f>
        <v/>
      </c>
      <c r="N27" s="329">
        <f>H27-D27</f>
        <v/>
      </c>
      <c r="U27" s="215" t="n"/>
      <c r="V27" s="215" t="n"/>
      <c r="W27" s="215" t="n"/>
      <c r="X27" s="215" t="n"/>
      <c r="Y27" s="215" t="n"/>
    </row>
    <row r="28" ht="15.75" customFormat="1" customHeight="1" s="215">
      <c r="A28" s="70" t="inlineStr">
        <is>
          <t>Leg #4 TD</t>
        </is>
      </c>
      <c r="B28" s="326" t="n">
        <v>2610</v>
      </c>
      <c r="C28" s="323">
        <f>B$4-D28</f>
        <v/>
      </c>
      <c r="D28" s="327" t="n">
        <v>106.01</v>
      </c>
      <c r="E28" s="325">
        <f>IF(ISERR(Prog_ISO),"-",(Prog_ISO))</f>
        <v/>
      </c>
      <c r="F28" s="326" t="n"/>
      <c r="G28" s="327" t="n"/>
      <c r="H28" s="327">
        <f>B$4-G28</f>
        <v/>
      </c>
      <c r="I28" s="325">
        <f>IF(AND(H29=0,H28&lt;&gt;0),"-",H28-H29)</f>
        <v/>
      </c>
      <c r="J28" s="326" t="n"/>
      <c r="K28" s="327" t="n"/>
      <c r="L28" s="328">
        <f>IF(K28=0,0,$B$4-K28)</f>
        <v/>
      </c>
      <c r="M28" s="325">
        <f>IF(AND(L29=0,L28&lt;&gt;0),"-",L28-L29)</f>
        <v/>
      </c>
      <c r="N28" s="329">
        <f>H28-D28</f>
        <v/>
      </c>
      <c r="U28" s="215" t="n"/>
      <c r="V28" s="215" t="n"/>
      <c r="W28" s="215" t="n"/>
      <c r="X28" s="215" t="n"/>
      <c r="Y28" s="215" t="n"/>
    </row>
    <row r="29" ht="15.75" customFormat="1" customHeight="1" s="215">
      <c r="A29" s="70" t="inlineStr">
        <is>
          <t>STP #5</t>
        </is>
      </c>
      <c r="B29" s="326" t="n">
        <v>984.5599999999999</v>
      </c>
      <c r="C29" s="323">
        <f>B$4-D29</f>
        <v/>
      </c>
      <c r="D29" s="327" t="n">
        <v>111.19</v>
      </c>
      <c r="E29" s="325">
        <f>IF(ISERR(Prog_ISO),"-",(Prog_ISO))</f>
        <v/>
      </c>
      <c r="F29" s="326" t="n"/>
      <c r="G29" s="327" t="n"/>
      <c r="H29" s="327">
        <f>B$4-G29</f>
        <v/>
      </c>
      <c r="I29" s="325">
        <f>IF(AND(H30=0,H29&lt;&gt;0),"-",H29-H30)</f>
        <v/>
      </c>
      <c r="J29" s="326" t="n"/>
      <c r="K29" s="327" t="n"/>
      <c r="L29" s="328">
        <f>IF(K29=0,0,$B$4-K29)</f>
        <v/>
      </c>
      <c r="M29" s="325">
        <f>IF(AND(L30=0,L29&lt;&gt;0),"-",L29-L30)</f>
        <v/>
      </c>
      <c r="N29" s="329">
        <f>H29-D29</f>
        <v/>
      </c>
      <c r="U29" s="215" t="n"/>
      <c r="V29" s="215" t="n"/>
      <c r="W29" s="215" t="n"/>
      <c r="X29" s="215" t="n"/>
      <c r="Y29" s="215" t="n"/>
    </row>
    <row r="30" ht="15.75" customFormat="1" customHeight="1" s="215">
      <c r="A30" s="70" t="inlineStr">
        <is>
          <t>Leg #5 TD</t>
        </is>
      </c>
      <c r="B30" s="326" t="n">
        <v>2700</v>
      </c>
      <c r="C30" s="323">
        <f>B$4-D30</f>
        <v/>
      </c>
      <c r="D30" s="327" t="n">
        <v>108</v>
      </c>
      <c r="E30" s="325">
        <f>IF(ISERR(Prog_ISO),"-",(Prog_ISO))</f>
        <v/>
      </c>
      <c r="F30" s="326" t="n"/>
      <c r="G30" s="327" t="n"/>
      <c r="H30" s="327">
        <f>B$4-G30</f>
        <v/>
      </c>
      <c r="I30" s="325">
        <f>IF(AND(H31=0,H30&lt;&gt;0),"-",H30-H31)</f>
        <v/>
      </c>
      <c r="J30" s="326" t="n"/>
      <c r="K30" s="327" t="n"/>
      <c r="L30" s="328">
        <f>IF(K30=0,0,$B$4-K30)</f>
        <v/>
      </c>
      <c r="M30" s="325">
        <f>IF(AND(L31=0,L30&lt;&gt;0),"-",L30-L31)</f>
        <v/>
      </c>
      <c r="N30" s="329">
        <f>H30-D30</f>
        <v/>
      </c>
      <c r="U30" s="215" t="n"/>
      <c r="V30" s="215" t="n"/>
      <c r="W30" s="215" t="n"/>
      <c r="X30" s="215" t="n"/>
      <c r="Y30" s="215" t="n"/>
    </row>
    <row r="31" ht="15.75" customFormat="1" customHeight="1" s="215">
      <c r="A31" s="70" t="n"/>
      <c r="B31" s="326" t="n"/>
      <c r="C31" s="323">
        <f>B$4-D31</f>
        <v/>
      </c>
      <c r="D31" s="327" t="n"/>
      <c r="E31" s="325">
        <f>IF(ISERR(Prog_ISO),"-",(Prog_ISO))</f>
        <v/>
      </c>
      <c r="F31" s="326" t="n"/>
      <c r="G31" s="327" t="n"/>
      <c r="H31" s="327">
        <f>B$4-G31</f>
        <v/>
      </c>
      <c r="I31" s="325">
        <f>IF(AND(H32=0,H31&lt;&gt;0),"-",H31-H32)</f>
        <v/>
      </c>
      <c r="J31" s="326" t="n"/>
      <c r="K31" s="327" t="n"/>
      <c r="L31" s="328">
        <f>IF(K31=0,0,$B$4-K31)</f>
        <v/>
      </c>
      <c r="M31" s="325">
        <f>IF(AND(L32=0,L31&lt;&gt;0),"-",L31-L32)</f>
        <v/>
      </c>
      <c r="N31" s="329">
        <f>H31-D31</f>
        <v/>
      </c>
      <c r="U31" s="215" t="n"/>
      <c r="V31" s="215" t="n"/>
      <c r="W31" s="215" t="n"/>
      <c r="X31" s="215" t="n"/>
      <c r="Y31" s="215" t="n"/>
    </row>
    <row r="32" ht="15.75" customFormat="1" customHeight="1" s="215">
      <c r="A32" s="70" t="n"/>
      <c r="B32" s="326" t="n"/>
      <c r="C32" s="323">
        <f>B$4-D32</f>
        <v/>
      </c>
      <c r="D32" s="327" t="n"/>
      <c r="E32" s="325">
        <f>IF(ISERR(Prog_ISO),"-",(Prog_ISO))</f>
        <v/>
      </c>
      <c r="F32" s="326" t="n"/>
      <c r="G32" s="327" t="n"/>
      <c r="H32" s="327">
        <f>B$4-G32</f>
        <v/>
      </c>
      <c r="I32" s="325">
        <f>IF(AND(H33=0,H32&lt;&gt;0),"-",H32-H33)</f>
        <v/>
      </c>
      <c r="J32" s="326" t="n"/>
      <c r="K32" s="327" t="n"/>
      <c r="L32" s="328">
        <f>IF(K32=0,0,$B$4-K32)</f>
        <v/>
      </c>
      <c r="M32" s="325">
        <f>IF(AND(L33=0,L32&lt;&gt;0),"-",L32-L33)</f>
        <v/>
      </c>
      <c r="N32" s="329">
        <f>H32-D32</f>
        <v/>
      </c>
      <c r="U32" s="215" t="n"/>
      <c r="V32" s="215" t="n"/>
      <c r="W32" s="215" t="n"/>
      <c r="X32" s="215" t="n"/>
      <c r="Y32" s="215" t="n"/>
    </row>
    <row r="33" ht="15.75" customFormat="1" customHeight="1" s="215">
      <c r="A33" s="70" t="n"/>
      <c r="B33" s="326" t="n"/>
      <c r="C33" s="323">
        <f>B$4-D33</f>
        <v/>
      </c>
      <c r="D33" s="327" t="n"/>
      <c r="E33" s="325">
        <f>IF(ISERR(Prog_ISO),"-",(Prog_ISO))</f>
        <v/>
      </c>
      <c r="F33" s="326" t="n"/>
      <c r="G33" s="327" t="n"/>
      <c r="H33" s="327">
        <f>B$4-G33</f>
        <v/>
      </c>
      <c r="I33" s="325">
        <f>IF(AND(H34=0,H33&lt;&gt;0),"-",H33-H34)</f>
        <v/>
      </c>
      <c r="J33" s="326" t="n"/>
      <c r="K33" s="327" t="n"/>
      <c r="L33" s="328">
        <f>IF(K33=0,0,$B$4-K33)</f>
        <v/>
      </c>
      <c r="M33" s="325">
        <f>IF(AND(L34=0,L33&lt;&gt;0),"-",L33-L34)</f>
        <v/>
      </c>
      <c r="N33" s="329">
        <f>H33-D33</f>
        <v/>
      </c>
      <c r="U33" s="215" t="n"/>
      <c r="V33" s="215" t="n"/>
      <c r="W33" s="215" t="n"/>
      <c r="X33" s="215" t="n"/>
      <c r="Y33" s="215" t="n"/>
    </row>
    <row r="34" ht="15.75" customFormat="1" customHeight="1" s="215">
      <c r="B34" s="326" t="n"/>
      <c r="C34" s="323">
        <f>B$4-D34</f>
        <v/>
      </c>
      <c r="D34" s="327" t="n"/>
      <c r="E34" s="325">
        <f>IF(ISERR(Prog_ISO),"-",(Prog_ISO))</f>
        <v/>
      </c>
      <c r="F34" s="326" t="n"/>
      <c r="G34" s="327" t="n"/>
      <c r="H34" s="327">
        <f>B$4-G34</f>
        <v/>
      </c>
      <c r="I34" s="325">
        <f>IF(AND(H35=0,H34&lt;&gt;0),"-",H34-H35)</f>
        <v/>
      </c>
      <c r="J34" s="326" t="n"/>
      <c r="K34" s="327" t="n"/>
      <c r="L34" s="328">
        <f>IF(K34=0,0,$B$4-K34)</f>
        <v/>
      </c>
      <c r="M34" s="325">
        <f>IF(AND(#REF!=0,L34&lt;&gt;0),"-",L34-#REF!)</f>
        <v/>
      </c>
      <c r="N34" s="329">
        <f>H34-D34</f>
        <v/>
      </c>
      <c r="U34" s="215" t="n"/>
      <c r="V34" s="215" t="n"/>
      <c r="W34" s="215" t="n"/>
      <c r="X34" s="215" t="n"/>
      <c r="Y34" s="215" t="n"/>
    </row>
    <row r="35" ht="15.75" customFormat="1" customHeight="1" s="215">
      <c r="A35" s="70" t="n"/>
      <c r="B35" s="326" t="n"/>
      <c r="C35" s="139" t="n"/>
      <c r="D35" s="71" t="n"/>
      <c r="E35" s="141" t="n"/>
      <c r="F35" s="73" t="n"/>
      <c r="G35" s="71" t="n"/>
      <c r="H35" s="71" t="n"/>
      <c r="I35" s="140" t="n"/>
      <c r="J35" s="74" t="n"/>
      <c r="K35" s="71" t="n"/>
      <c r="L35" s="71" t="n"/>
      <c r="M35" s="140" t="n"/>
      <c r="N35" s="128" t="n"/>
      <c r="U35" s="215" t="n"/>
      <c r="V35" s="215" t="n"/>
      <c r="W35" s="215" t="n"/>
      <c r="X35" s="215" t="n"/>
      <c r="Y35" s="215" t="n"/>
    </row>
    <row r="36" ht="15.75" customFormat="1" customHeight="1" s="215">
      <c r="A36" s="70" t="n"/>
      <c r="B36" s="326" t="n"/>
      <c r="C36" s="139" t="n"/>
      <c r="D36" s="71" t="n"/>
      <c r="E36" s="141" t="n"/>
      <c r="F36" s="73" t="n"/>
      <c r="G36" s="71" t="n"/>
      <c r="H36" s="71" t="n"/>
      <c r="I36" s="140" t="n"/>
      <c r="J36" s="73" t="n"/>
      <c r="K36" s="71" t="n"/>
      <c r="L36" s="71" t="n"/>
      <c r="M36" s="140" t="n"/>
      <c r="N36" s="128" t="n"/>
      <c r="U36" s="215" t="n"/>
      <c r="V36" s="215" t="n"/>
      <c r="W36" s="215" t="n"/>
      <c r="X36" s="215" t="n"/>
      <c r="Y36" s="215" t="n"/>
    </row>
    <row r="37" ht="15.75" customFormat="1" customHeight="1" s="215">
      <c r="A37" s="70" t="n"/>
      <c r="B37" s="326" t="n"/>
      <c r="C37" s="71" t="n"/>
      <c r="D37" s="71" t="n"/>
      <c r="E37" s="142" t="n"/>
      <c r="F37" s="73" t="n"/>
      <c r="G37" s="71" t="n"/>
      <c r="H37" s="71" t="n"/>
      <c r="I37" s="140" t="n"/>
      <c r="J37" s="73" t="n"/>
      <c r="K37" s="71" t="n"/>
      <c r="L37" s="71" t="n"/>
      <c r="M37" s="140" t="n"/>
      <c r="N37" s="128" t="n"/>
      <c r="U37" s="215" t="n"/>
      <c r="V37" s="215" t="n"/>
      <c r="W37" s="215" t="n"/>
      <c r="X37" s="215" t="n"/>
      <c r="Y37" s="215" t="n"/>
    </row>
    <row r="38" ht="15.75" customFormat="1" customHeight="1" s="215">
      <c r="A38" s="367" t="inlineStr">
        <is>
          <t>*Prognosis TVD's Adjusted to Actual K.B Value.</t>
        </is>
      </c>
      <c r="U38" s="215" t="n"/>
      <c r="V38" s="215" t="n"/>
      <c r="W38" s="215" t="n"/>
      <c r="X38" s="215" t="n"/>
      <c r="Y38" s="215" t="n"/>
    </row>
    <row r="39" ht="15.75" customFormat="1" customHeight="1" s="215">
      <c r="A39" s="39" t="n"/>
      <c r="U39" s="215" t="n"/>
      <c r="V39" s="215" t="n"/>
      <c r="W39" s="215" t="n"/>
      <c r="X39" s="215" t="n"/>
      <c r="Y39" s="215" t="n"/>
    </row>
    <row r="40" ht="19.5" customFormat="1" customHeight="1" s="215">
      <c r="A40" s="39" t="n"/>
      <c r="U40" s="215" t="n"/>
      <c r="V40" s="215" t="n"/>
      <c r="W40" s="215" t="n"/>
      <c r="X40" s="215" t="n"/>
      <c r="Y40" s="215" t="n"/>
    </row>
    <row r="41" ht="15.75" customFormat="1" customHeight="1" s="215">
      <c r="A41" s="39" t="n"/>
      <c r="U41" s="215" t="n"/>
      <c r="V41" s="215" t="n"/>
      <c r="W41" s="215" t="n"/>
      <c r="X41" s="215" t="n"/>
      <c r="Y41" s="215" t="n"/>
    </row>
    <row r="42" ht="15.75" customFormat="1" customHeight="1" s="215">
      <c r="A42" s="39" t="n"/>
      <c r="U42" s="215" t="n"/>
      <c r="V42" s="215" t="n"/>
      <c r="W42" s="215" t="n"/>
      <c r="X42" s="215" t="n"/>
      <c r="Y42" s="215" t="n"/>
    </row>
    <row r="43" ht="15.75" customFormat="1" customHeight="1" s="215">
      <c r="A43" s="39" t="n"/>
      <c r="U43" s="215" t="n"/>
      <c r="V43" s="215" t="n"/>
      <c r="W43" s="215" t="n"/>
      <c r="X43" s="215" t="n"/>
      <c r="Y43" s="215" t="n"/>
    </row>
    <row r="44" ht="15.75" customFormat="1" customHeight="1" s="215">
      <c r="A44" s="39" t="n"/>
      <c r="U44" s="215" t="n"/>
      <c r="V44" s="215" t="n"/>
      <c r="W44" s="215" t="n"/>
      <c r="X44" s="215" t="n"/>
      <c r="Y44" s="215" t="n"/>
    </row>
    <row r="45" ht="15.75" customFormat="1" customHeight="1" s="215">
      <c r="A45" s="39" t="n"/>
      <c r="U45" s="215" t="n"/>
      <c r="V45" s="215" t="n"/>
      <c r="W45" s="215" t="n"/>
      <c r="X45" s="215" t="n"/>
      <c r="Y45" s="215" t="n"/>
    </row>
    <row r="46" ht="15.75" customFormat="1" customHeight="1" s="215">
      <c r="A46" s="39" t="n"/>
      <c r="U46" s="215" t="n"/>
      <c r="V46" s="215" t="n"/>
      <c r="W46" s="215" t="n"/>
      <c r="X46" s="215" t="n"/>
      <c r="Y46" s="215" t="n"/>
    </row>
    <row r="47" ht="15.75" customFormat="1" customHeight="1" s="215">
      <c r="A47" s="39" t="n"/>
      <c r="U47" s="215" t="n"/>
      <c r="V47" s="215" t="n"/>
      <c r="W47" s="215" t="n"/>
      <c r="X47" s="215" t="n"/>
      <c r="Y47" s="215" t="n"/>
    </row>
    <row r="48" ht="15.75" customFormat="1" customHeight="1" s="215">
      <c r="A48" s="39" t="n"/>
      <c r="U48" s="215" t="n"/>
      <c r="V48" s="215" t="n"/>
      <c r="W48" s="215" t="n"/>
      <c r="X48" s="215" t="n"/>
      <c r="Y48" s="215" t="n"/>
    </row>
    <row r="49" ht="15.75" customFormat="1" customHeight="1" s="215">
      <c r="A49" s="39" t="n"/>
      <c r="U49" s="215" t="n"/>
      <c r="V49" s="215" t="n"/>
      <c r="W49" s="215" t="n"/>
      <c r="X49" s="215" t="n"/>
      <c r="Y49" s="215" t="n"/>
    </row>
    <row r="50" ht="15.75" customFormat="1" customHeight="1" s="215">
      <c r="A50" s="39" t="n"/>
      <c r="U50" s="215" t="n"/>
      <c r="V50" s="215" t="n"/>
      <c r="W50" s="215" t="n"/>
      <c r="X50" s="215" t="n"/>
      <c r="Y50" s="215" t="n"/>
    </row>
    <row r="51" ht="15.75" customFormat="1" customHeight="1" s="215">
      <c r="A51" s="39" t="n"/>
      <c r="U51" s="215" t="n"/>
      <c r="V51" s="215" t="n"/>
      <c r="W51" s="215" t="n"/>
      <c r="X51" s="215" t="n"/>
      <c r="Y51" s="215" t="n"/>
    </row>
    <row r="52" ht="15.75" customFormat="1" customHeight="1" s="215">
      <c r="A52" s="39" t="n"/>
      <c r="U52" s="215" t="n"/>
      <c r="V52" s="215" t="n"/>
      <c r="W52" s="215" t="n"/>
      <c r="X52" s="215" t="n"/>
      <c r="Y52" s="215" t="n"/>
    </row>
    <row r="53" ht="15.75" customFormat="1" customHeight="1" s="215">
      <c r="A53" s="39" t="n"/>
      <c r="U53" s="215" t="n"/>
      <c r="V53" s="215" t="n"/>
      <c r="W53" s="215" t="n"/>
      <c r="X53" s="215" t="n"/>
      <c r="Y53" s="215" t="n"/>
    </row>
    <row r="54" ht="15.75" customFormat="1" customHeight="1" s="215">
      <c r="A54" s="39" t="n"/>
      <c r="U54" s="215" t="n"/>
      <c r="V54" s="215" t="n"/>
      <c r="W54" s="215" t="n"/>
      <c r="X54" s="215" t="n"/>
      <c r="Y54" s="215" t="n"/>
    </row>
    <row r="55" ht="15.75" customFormat="1" customHeight="1" s="215">
      <c r="A55" s="39" t="n"/>
      <c r="U55" s="215" t="n"/>
      <c r="V55" s="215" t="n"/>
      <c r="W55" s="215" t="n"/>
      <c r="X55" s="215" t="n"/>
      <c r="Y55" s="215" t="n"/>
    </row>
    <row r="56" ht="15.75" customFormat="1" customHeight="1" s="215">
      <c r="A56" s="39" t="n"/>
      <c r="U56" s="215" t="n"/>
      <c r="V56" s="215" t="n"/>
      <c r="W56" s="215" t="n"/>
      <c r="X56" s="215" t="n"/>
      <c r="Y56" s="215" t="n"/>
    </row>
    <row r="57" ht="15.75" customFormat="1" customHeight="1" s="215">
      <c r="A57" s="39" t="n"/>
      <c r="U57" s="215" t="n"/>
      <c r="V57" s="215" t="n"/>
      <c r="W57" s="215" t="n"/>
      <c r="X57" s="215" t="n"/>
      <c r="Y57" s="215" t="n"/>
    </row>
    <row r="58" ht="15.75" customFormat="1" customHeight="1" s="215">
      <c r="A58" s="39" t="n"/>
      <c r="U58" s="215" t="n"/>
      <c r="V58" s="215" t="n"/>
      <c r="W58" s="215" t="n"/>
      <c r="X58" s="215" t="n"/>
      <c r="Y58" s="215" t="n"/>
    </row>
    <row r="59" ht="15.75" customFormat="1" customHeight="1" s="215">
      <c r="A59" s="39" t="n"/>
      <c r="U59" s="215" t="n"/>
      <c r="V59" s="215" t="n"/>
      <c r="W59" s="215" t="n"/>
      <c r="X59" s="215" t="n"/>
      <c r="Y59" s="215" t="n"/>
    </row>
    <row r="60" ht="15.75" customFormat="1" customHeight="1" s="215">
      <c r="A60" s="39" t="n"/>
      <c r="U60" s="215" t="n"/>
      <c r="V60" s="215" t="n"/>
      <c r="W60" s="215" t="n"/>
      <c r="X60" s="215" t="n"/>
      <c r="Y60" s="215" t="n"/>
    </row>
    <row r="61" ht="15.75" customFormat="1" customHeight="1" s="215">
      <c r="A61" s="39" t="n"/>
      <c r="U61" s="215" t="n"/>
      <c r="V61" s="215" t="n"/>
      <c r="W61" s="215" t="n"/>
      <c r="X61" s="215" t="n"/>
      <c r="Y61" s="215" t="n"/>
    </row>
    <row r="62" ht="15.75" customFormat="1" customHeight="1" s="215">
      <c r="A62" s="39" t="n"/>
      <c r="U62" s="215" t="n"/>
      <c r="V62" s="215" t="n"/>
      <c r="W62" s="215" t="n"/>
      <c r="X62" s="215" t="n"/>
      <c r="Y62" s="215" t="n"/>
    </row>
    <row r="63" ht="15.75" customFormat="1" customHeight="1" s="215">
      <c r="A63" s="39" t="n"/>
      <c r="U63" s="215" t="n"/>
      <c r="V63" s="215" t="n"/>
      <c r="W63" s="215" t="n"/>
      <c r="X63" s="215" t="n"/>
      <c r="Y63" s="215" t="n"/>
    </row>
    <row r="64" ht="15.75" customFormat="1" customHeight="1" s="215">
      <c r="A64" s="39" t="n"/>
      <c r="U64" s="215" t="n"/>
      <c r="V64" s="215" t="n"/>
      <c r="W64" s="215" t="n"/>
      <c r="X64" s="215" t="n"/>
      <c r="Y64" s="215" t="n"/>
    </row>
    <row r="65" ht="15.75" customFormat="1" customHeight="1" s="215">
      <c r="A65" s="39" t="n"/>
      <c r="U65" s="215" t="n"/>
      <c r="V65" s="215" t="n"/>
      <c r="W65" s="215" t="n"/>
      <c r="X65" s="215" t="n"/>
      <c r="Y65" s="215" t="n"/>
    </row>
    <row r="66" ht="15.75" customFormat="1" customHeight="1" s="215">
      <c r="A66" s="39" t="n"/>
      <c r="U66" s="215" t="n"/>
      <c r="V66" s="215" t="n"/>
      <c r="W66" s="215" t="n"/>
      <c r="X66" s="215" t="n"/>
      <c r="Y66" s="215" t="n"/>
    </row>
    <row r="67" ht="15.75" customFormat="1" customHeight="1" s="215">
      <c r="A67" s="39" t="n"/>
      <c r="U67" s="215" t="n"/>
      <c r="V67" s="215" t="n"/>
      <c r="W67" s="215" t="n"/>
      <c r="X67" s="215" t="n"/>
      <c r="Y67" s="215" t="n"/>
    </row>
    <row r="68" ht="15.75" customFormat="1" customHeight="1" s="215">
      <c r="A68" s="39" t="n"/>
      <c r="U68" s="215" t="n"/>
      <c r="V68" s="215" t="n"/>
      <c r="W68" s="215" t="n"/>
      <c r="X68" s="215" t="n"/>
      <c r="Y68" s="215" t="n"/>
    </row>
    <row r="69" ht="15.75" customFormat="1" customHeight="1" s="215">
      <c r="A69" s="39" t="n"/>
      <c r="U69" s="215" t="n"/>
      <c r="V69" s="215" t="n"/>
      <c r="W69" s="215" t="n"/>
      <c r="X69" s="215" t="n"/>
      <c r="Y69" s="215" t="n"/>
    </row>
    <row r="70" ht="15.75" customFormat="1" customHeight="1" s="215">
      <c r="A70" s="39" t="n"/>
      <c r="U70" s="215" t="n"/>
      <c r="V70" s="215" t="n"/>
      <c r="W70" s="215" t="n"/>
      <c r="X70" s="215" t="n"/>
      <c r="Y70" s="215" t="n"/>
    </row>
    <row r="71" ht="15.75" customFormat="1" customHeight="1" s="215">
      <c r="A71" s="39" t="n"/>
      <c r="U71" s="215" t="n"/>
      <c r="V71" s="215" t="n"/>
      <c r="W71" s="215" t="n"/>
      <c r="X71" s="215" t="n"/>
      <c r="Y71" s="215" t="n"/>
    </row>
    <row r="72" ht="15.75" customFormat="1" customHeight="1" s="215">
      <c r="A72" s="39" t="n"/>
      <c r="U72" s="215" t="n"/>
      <c r="V72" s="215" t="n"/>
      <c r="W72" s="215" t="n"/>
      <c r="X72" s="215" t="n"/>
      <c r="Y72" s="215" t="n"/>
    </row>
    <row r="73" ht="15.75" customFormat="1" customHeight="1" s="215">
      <c r="A73" s="39" t="n"/>
      <c r="U73" s="215" t="n"/>
      <c r="V73" s="215" t="n"/>
      <c r="W73" s="215" t="n"/>
      <c r="X73" s="215" t="n"/>
      <c r="Y73" s="215" t="n"/>
    </row>
    <row r="74" ht="15.75" customFormat="1" customHeight="1" s="215">
      <c r="A74" s="39" t="n"/>
      <c r="U74" s="215" t="n"/>
      <c r="V74" s="215" t="n"/>
      <c r="W74" s="215" t="n"/>
      <c r="X74" s="215" t="n"/>
      <c r="Y74" s="215" t="n"/>
    </row>
    <row r="75" ht="15.75" customFormat="1" customHeight="1" s="215">
      <c r="A75" s="39" t="n"/>
      <c r="U75" s="215" t="n"/>
      <c r="V75" s="215" t="n"/>
      <c r="W75" s="215" t="n"/>
      <c r="X75" s="215" t="n"/>
      <c r="Y75" s="215" t="n"/>
    </row>
    <row r="76" ht="15.75" customFormat="1" customHeight="1" s="215">
      <c r="A76" s="39" t="n"/>
      <c r="U76" s="215" t="n"/>
      <c r="V76" s="215" t="n"/>
      <c r="W76" s="215" t="n"/>
      <c r="X76" s="215" t="n"/>
      <c r="Y76" s="215" t="n"/>
    </row>
    <row r="77" ht="15.75" customFormat="1" customHeight="1" s="215">
      <c r="A77" s="39" t="n"/>
      <c r="U77" s="215" t="n"/>
      <c r="V77" s="215" t="n"/>
      <c r="W77" s="215" t="n"/>
      <c r="X77" s="215" t="n"/>
      <c r="Y77" s="215" t="n"/>
    </row>
    <row r="78" ht="15.75" customFormat="1" customHeight="1" s="215">
      <c r="A78" s="39" t="n"/>
      <c r="U78" s="215" t="n"/>
      <c r="V78" s="215" t="n"/>
      <c r="W78" s="215" t="n"/>
      <c r="X78" s="215" t="n"/>
      <c r="Y78" s="215" t="n"/>
    </row>
    <row r="79" ht="15.75" customFormat="1" customHeight="1" s="215">
      <c r="A79" s="39" t="n"/>
      <c r="U79" s="215" t="n"/>
      <c r="V79" s="215" t="n"/>
      <c r="W79" s="215" t="n"/>
      <c r="X79" s="215" t="n"/>
      <c r="Y79" s="215" t="n"/>
    </row>
    <row r="80" ht="15.75" customFormat="1" customHeight="1" s="215">
      <c r="A80" s="39" t="n"/>
      <c r="U80" s="215" t="n"/>
      <c r="V80" s="215" t="n"/>
      <c r="W80" s="215" t="n"/>
      <c r="X80" s="215" t="n"/>
      <c r="Y80" s="215" t="n"/>
    </row>
    <row r="81" ht="15.75" customFormat="1" customHeight="1" s="215">
      <c r="A81" s="39" t="n"/>
      <c r="U81" s="215" t="n"/>
      <c r="V81" s="215" t="n"/>
      <c r="W81" s="215" t="n"/>
      <c r="X81" s="215" t="n"/>
      <c r="Y81" s="215" t="n"/>
    </row>
    <row r="82" ht="15.75" customFormat="1" customHeight="1" s="215">
      <c r="A82" s="39" t="n"/>
      <c r="U82" s="215" t="n"/>
      <c r="V82" s="215" t="n"/>
      <c r="W82" s="215" t="n"/>
      <c r="X82" s="215" t="n"/>
      <c r="Y82" s="215" t="n"/>
    </row>
    <row r="83" ht="15.75" customFormat="1" customHeight="1" s="215">
      <c r="A83" s="39" t="n"/>
      <c r="U83" s="215" t="n"/>
      <c r="V83" s="215" t="n"/>
      <c r="W83" s="215" t="n"/>
      <c r="X83" s="215" t="n"/>
      <c r="Y83" s="215" t="n"/>
    </row>
    <row r="84" ht="15.75" customFormat="1" customHeight="1" s="215">
      <c r="A84" s="39" t="n"/>
      <c r="U84" s="215" t="n"/>
      <c r="V84" s="215" t="n"/>
      <c r="W84" s="215" t="n"/>
      <c r="X84" s="215" t="n"/>
      <c r="Y84" s="215" t="n"/>
    </row>
    <row r="85" ht="15.75" customFormat="1" customHeight="1" s="215">
      <c r="A85" s="39" t="n"/>
      <c r="U85" s="215" t="n"/>
      <c r="V85" s="215" t="n"/>
      <c r="W85" s="215" t="n"/>
      <c r="X85" s="215" t="n"/>
      <c r="Y85" s="215" t="n"/>
    </row>
    <row r="86" ht="15.75" customFormat="1" customHeight="1" s="215">
      <c r="A86" s="39" t="n"/>
      <c r="U86" s="215" t="n"/>
      <c r="V86" s="215" t="n"/>
      <c r="W86" s="215" t="n"/>
      <c r="X86" s="215" t="n"/>
      <c r="Y86" s="215" t="n"/>
    </row>
    <row r="87" ht="15.75" customFormat="1" customHeight="1" s="215">
      <c r="A87" s="39" t="n"/>
      <c r="U87" s="215" t="n"/>
      <c r="V87" s="215" t="n"/>
      <c r="W87" s="215" t="n"/>
      <c r="X87" s="215" t="n"/>
      <c r="Y87" s="215" t="n"/>
    </row>
    <row r="88" ht="15.75" customFormat="1" customHeight="1" s="215">
      <c r="A88" s="39" t="n"/>
      <c r="U88" s="215" t="n"/>
      <c r="V88" s="215" t="n"/>
      <c r="W88" s="215" t="n"/>
      <c r="X88" s="215" t="n"/>
      <c r="Y88" s="215" t="n"/>
    </row>
    <row r="89" ht="15.75" customFormat="1" customHeight="1" s="215">
      <c r="A89" s="39" t="n"/>
      <c r="U89" s="215" t="n"/>
      <c r="V89" s="215" t="n"/>
      <c r="W89" s="215" t="n"/>
      <c r="X89" s="215" t="n"/>
      <c r="Y89" s="215" t="n"/>
    </row>
    <row r="90" ht="15.75" customFormat="1" customHeight="1" s="215">
      <c r="A90" s="39" t="n"/>
      <c r="U90" s="215" t="n"/>
      <c r="V90" s="215" t="n"/>
      <c r="W90" s="215" t="n"/>
      <c r="X90" s="215" t="n"/>
      <c r="Y90" s="215" t="n"/>
    </row>
    <row r="91" ht="15.75" customFormat="1" customHeight="1" s="215">
      <c r="A91" s="39" t="n"/>
      <c r="U91" s="215" t="n"/>
      <c r="V91" s="215" t="n"/>
      <c r="W91" s="215" t="n"/>
      <c r="X91" s="215" t="n"/>
      <c r="Y91" s="215" t="n"/>
    </row>
    <row r="92" ht="15.75" customFormat="1" customHeight="1" s="215">
      <c r="A92" s="39" t="n"/>
      <c r="U92" s="215" t="n"/>
      <c r="V92" s="215" t="n"/>
      <c r="W92" s="215" t="n"/>
      <c r="X92" s="215" t="n"/>
      <c r="Y92" s="215" t="n"/>
    </row>
    <row r="93" ht="15.75" customFormat="1" customHeight="1" s="215">
      <c r="A93" s="39" t="n"/>
      <c r="U93" s="215" t="n"/>
      <c r="V93" s="215" t="n"/>
      <c r="W93" s="215" t="n"/>
      <c r="X93" s="215" t="n"/>
      <c r="Y93" s="215" t="n"/>
    </row>
    <row r="94" ht="15.75" customFormat="1" customHeight="1" s="215">
      <c r="A94" s="39" t="n"/>
      <c r="U94" s="215" t="n"/>
      <c r="V94" s="215" t="n"/>
      <c r="W94" s="215" t="n"/>
      <c r="X94" s="215" t="n"/>
      <c r="Y94" s="215" t="n"/>
    </row>
    <row r="95" ht="15.75" customFormat="1" customHeight="1" s="215">
      <c r="A95" s="39" t="n"/>
      <c r="U95" s="215" t="n"/>
      <c r="V95" s="215" t="n"/>
      <c r="W95" s="215" t="n"/>
      <c r="X95" s="215" t="n"/>
      <c r="Y95" s="215" t="n"/>
    </row>
    <row r="96" ht="15.75" customFormat="1" customHeight="1" s="215">
      <c r="A96" s="39" t="n"/>
      <c r="U96" s="215" t="n"/>
      <c r="V96" s="215" t="n"/>
      <c r="W96" s="215" t="n"/>
      <c r="X96" s="215" t="n"/>
      <c r="Y96" s="215" t="n"/>
    </row>
    <row r="97" ht="15.75" customFormat="1" customHeight="1" s="215">
      <c r="A97" s="39" t="n"/>
      <c r="U97" s="215" t="n"/>
      <c r="V97" s="215" t="n"/>
      <c r="W97" s="215" t="n"/>
      <c r="X97" s="215" t="n"/>
      <c r="Y97" s="215" t="n"/>
    </row>
    <row r="98" ht="15.75" customFormat="1" customHeight="1" s="215">
      <c r="A98" s="39" t="n"/>
      <c r="U98" s="215" t="n"/>
      <c r="V98" s="215" t="n"/>
      <c r="W98" s="215" t="n"/>
      <c r="X98" s="215" t="n"/>
      <c r="Y98" s="215" t="n"/>
    </row>
    <row r="99" ht="15.75" customFormat="1" customHeight="1" s="215">
      <c r="A99" s="39" t="n"/>
      <c r="U99" s="215" t="n"/>
      <c r="V99" s="215" t="n"/>
      <c r="W99" s="215" t="n"/>
      <c r="X99" s="215" t="n"/>
      <c r="Y99" s="215" t="n"/>
    </row>
    <row r="100" ht="15.75" customFormat="1" customHeight="1" s="215">
      <c r="A100" s="39" t="n"/>
      <c r="U100" s="215" t="n"/>
      <c r="V100" s="215" t="n"/>
      <c r="W100" s="215" t="n"/>
      <c r="X100" s="215" t="n"/>
      <c r="Y100" s="215" t="n"/>
    </row>
    <row r="101" ht="15.75" customFormat="1" customHeight="1" s="215">
      <c r="A101" s="39" t="n"/>
      <c r="U101" s="215" t="n"/>
      <c r="V101" s="215" t="n"/>
      <c r="W101" s="215" t="n"/>
      <c r="X101" s="215" t="n"/>
      <c r="Y101" s="215" t="n"/>
    </row>
    <row r="102" ht="15.75" customFormat="1" customHeight="1" s="215">
      <c r="A102" s="39" t="n"/>
      <c r="U102" s="215" t="n"/>
      <c r="V102" s="215" t="n"/>
      <c r="W102" s="215" t="n"/>
      <c r="X102" s="215" t="n"/>
      <c r="Y102" s="215" t="n"/>
    </row>
    <row r="103" ht="15.75" customFormat="1" customHeight="1" s="215">
      <c r="A103" s="39" t="n"/>
      <c r="U103" s="215" t="n"/>
      <c r="V103" s="215" t="n"/>
      <c r="W103" s="215" t="n"/>
      <c r="X103" s="215" t="n"/>
      <c r="Y103" s="215" t="n"/>
    </row>
    <row r="104" ht="15.75" customFormat="1" customHeight="1" s="215">
      <c r="A104" s="39" t="n"/>
      <c r="U104" s="215" t="n"/>
      <c r="V104" s="215" t="n"/>
      <c r="W104" s="215" t="n"/>
      <c r="X104" s="215" t="n"/>
      <c r="Y104" s="215" t="n"/>
    </row>
    <row r="105" ht="15.75" customFormat="1" customHeight="1" s="215">
      <c r="A105" s="39" t="n"/>
      <c r="U105" s="215" t="n"/>
      <c r="V105" s="215" t="n"/>
      <c r="W105" s="215" t="n"/>
      <c r="X105" s="215" t="n"/>
      <c r="Y105" s="215" t="n"/>
    </row>
    <row r="106" ht="15.75" customFormat="1" customHeight="1" s="215">
      <c r="A106" s="39" t="n"/>
      <c r="U106" s="215" t="n"/>
      <c r="V106" s="215" t="n"/>
      <c r="W106" s="215" t="n"/>
      <c r="X106" s="215" t="n"/>
      <c r="Y106" s="215" t="n"/>
    </row>
    <row r="107" ht="15.75" customFormat="1" customHeight="1" s="215">
      <c r="A107" s="39" t="n"/>
      <c r="U107" s="215" t="n"/>
      <c r="V107" s="215" t="n"/>
      <c r="W107" s="215" t="n"/>
      <c r="X107" s="215" t="n"/>
      <c r="Y107" s="215" t="n"/>
    </row>
    <row r="108" ht="15.75" customFormat="1" customHeight="1" s="215">
      <c r="A108" s="39" t="n"/>
      <c r="U108" s="215" t="n"/>
      <c r="V108" s="215" t="n"/>
      <c r="W108" s="215" t="n"/>
      <c r="X108" s="215" t="n"/>
      <c r="Y108" s="215" t="n"/>
    </row>
    <row r="109" ht="15.75" customFormat="1" customHeight="1" s="215">
      <c r="A109" s="39" t="n"/>
      <c r="U109" s="215" t="n"/>
      <c r="V109" s="215" t="n"/>
      <c r="W109" s="215" t="n"/>
      <c r="X109" s="215" t="n"/>
      <c r="Y109" s="215" t="n"/>
    </row>
    <row r="110" ht="15.75" customFormat="1" customHeight="1" s="215">
      <c r="A110" s="39" t="n"/>
      <c r="U110" s="215" t="n"/>
      <c r="V110" s="215" t="n"/>
      <c r="W110" s="215" t="n"/>
      <c r="X110" s="215" t="n"/>
      <c r="Y110" s="215" t="n"/>
    </row>
    <row r="111" ht="15.75" customFormat="1" customHeight="1" s="215">
      <c r="A111" s="39" t="n"/>
      <c r="U111" s="215" t="n"/>
      <c r="V111" s="215" t="n"/>
      <c r="W111" s="215" t="n"/>
      <c r="X111" s="215" t="n"/>
      <c r="Y111" s="215" t="n"/>
    </row>
    <row r="112" ht="15.75" customFormat="1" customHeight="1" s="215">
      <c r="A112" s="39" t="n"/>
      <c r="U112" s="215" t="n"/>
      <c r="V112" s="215" t="n"/>
      <c r="W112" s="215" t="n"/>
      <c r="X112" s="215" t="n"/>
      <c r="Y112" s="215" t="n"/>
    </row>
    <row r="113" ht="15.75" customFormat="1" customHeight="1" s="215">
      <c r="A113" s="39" t="n"/>
      <c r="U113" s="215" t="n"/>
      <c r="V113" s="215" t="n"/>
      <c r="W113" s="215" t="n"/>
      <c r="X113" s="215" t="n"/>
      <c r="Y113" s="215" t="n"/>
    </row>
    <row r="114" ht="15.75" customFormat="1" customHeight="1" s="215">
      <c r="A114" s="39" t="n"/>
      <c r="U114" s="215" t="n"/>
      <c r="V114" s="215" t="n"/>
      <c r="W114" s="215" t="n"/>
      <c r="X114" s="215" t="n"/>
      <c r="Y114" s="215" t="n"/>
    </row>
    <row r="115" ht="15.75" customFormat="1" customHeight="1" s="215">
      <c r="A115" s="39" t="n"/>
      <c r="U115" s="215" t="n"/>
      <c r="V115" s="215" t="n"/>
      <c r="W115" s="215" t="n"/>
      <c r="X115" s="215" t="n"/>
      <c r="Y115" s="215" t="n"/>
    </row>
    <row r="116" ht="15.75" customFormat="1" customHeight="1" s="215">
      <c r="A116" s="39" t="n"/>
      <c r="U116" s="215" t="n"/>
      <c r="V116" s="215" t="n"/>
      <c r="W116" s="215" t="n"/>
      <c r="X116" s="215" t="n"/>
      <c r="Y116" s="215" t="n"/>
    </row>
    <row r="117" ht="15.75" customFormat="1" customHeight="1" s="215">
      <c r="A117" s="39" t="n"/>
      <c r="U117" s="215" t="n"/>
      <c r="V117" s="215" t="n"/>
      <c r="W117" s="215" t="n"/>
      <c r="X117" s="215" t="n"/>
      <c r="Y117" s="215" t="n"/>
    </row>
    <row r="118" ht="15.75" customFormat="1" customHeight="1" s="215">
      <c r="A118" s="39" t="n"/>
      <c r="U118" s="215" t="n"/>
      <c r="V118" s="215" t="n"/>
      <c r="W118" s="215" t="n"/>
      <c r="X118" s="215" t="n"/>
      <c r="Y118" s="215" t="n"/>
    </row>
    <row r="119" ht="15.75" customFormat="1" customHeight="1" s="215">
      <c r="A119" s="39" t="n"/>
      <c r="U119" s="215" t="n"/>
      <c r="V119" s="215" t="n"/>
      <c r="W119" s="215" t="n"/>
      <c r="X119" s="215" t="n"/>
      <c r="Y119" s="215" t="n"/>
    </row>
    <row r="120" ht="15.75" customFormat="1" customHeight="1" s="215">
      <c r="A120" s="39" t="n"/>
      <c r="U120" s="215" t="n"/>
      <c r="V120" s="215" t="n"/>
      <c r="W120" s="215" t="n"/>
      <c r="X120" s="215" t="n"/>
      <c r="Y120" s="215" t="n"/>
    </row>
    <row r="121" ht="15.75" customFormat="1" customHeight="1" s="215">
      <c r="A121" s="39" t="n"/>
      <c r="U121" s="215" t="n"/>
      <c r="V121" s="215" t="n"/>
      <c r="W121" s="215" t="n"/>
      <c r="X121" s="215" t="n"/>
      <c r="Y121" s="215" t="n"/>
    </row>
    <row r="122" ht="15.75" customFormat="1" customHeight="1" s="215">
      <c r="A122" s="39" t="n"/>
      <c r="U122" s="215" t="n"/>
      <c r="V122" s="215" t="n"/>
      <c r="W122" s="215" t="n"/>
      <c r="X122" s="215" t="n"/>
      <c r="Y122" s="215" t="n"/>
    </row>
    <row r="123" ht="15.75" customFormat="1" customHeight="1" s="215">
      <c r="A123" s="39" t="n"/>
      <c r="U123" s="215" t="n"/>
      <c r="V123" s="215" t="n"/>
      <c r="W123" s="215" t="n"/>
      <c r="X123" s="215" t="n"/>
      <c r="Y123" s="215" t="n"/>
    </row>
    <row r="124" ht="15.75" customFormat="1" customHeight="1" s="215">
      <c r="A124" s="39" t="n"/>
      <c r="U124" s="215" t="n"/>
      <c r="V124" s="215" t="n"/>
      <c r="W124" s="215" t="n"/>
      <c r="X124" s="215" t="n"/>
      <c r="Y124" s="215" t="n"/>
    </row>
    <row r="125" ht="15.75" customFormat="1" customHeight="1" s="215">
      <c r="A125" s="39" t="n"/>
      <c r="U125" s="215" t="n"/>
      <c r="V125" s="215" t="n"/>
      <c r="W125" s="215" t="n"/>
      <c r="X125" s="215" t="n"/>
      <c r="Y125" s="215" t="n"/>
    </row>
    <row r="126" ht="15.75" customFormat="1" customHeight="1" s="215">
      <c r="A126" s="39" t="n"/>
      <c r="U126" s="215" t="n"/>
      <c r="V126" s="215" t="n"/>
      <c r="W126" s="215" t="n"/>
      <c r="X126" s="215" t="n"/>
      <c r="Y126" s="215" t="n"/>
    </row>
    <row r="127" ht="15.75" customFormat="1" customHeight="1" s="215">
      <c r="A127" s="39" t="n"/>
      <c r="U127" s="215" t="n"/>
      <c r="V127" s="215" t="n"/>
      <c r="W127" s="215" t="n"/>
      <c r="X127" s="215" t="n"/>
      <c r="Y127" s="215" t="n"/>
    </row>
    <row r="128" ht="15.75" customFormat="1" customHeight="1" s="215">
      <c r="A128" s="39" t="n"/>
      <c r="U128" s="215" t="n"/>
      <c r="V128" s="215" t="n"/>
      <c r="W128" s="215" t="n"/>
      <c r="X128" s="215" t="n"/>
      <c r="Y128" s="215" t="n"/>
    </row>
    <row r="129" ht="15.75" customFormat="1" customHeight="1" s="215">
      <c r="A129" s="39" t="n"/>
      <c r="U129" s="215" t="n"/>
      <c r="V129" s="215" t="n"/>
      <c r="W129" s="215" t="n"/>
      <c r="X129" s="215" t="n"/>
      <c r="Y129" s="215" t="n"/>
    </row>
    <row r="130" ht="15.75" customFormat="1" customHeight="1" s="215">
      <c r="A130" s="39" t="n"/>
      <c r="U130" s="215" t="n"/>
      <c r="V130" s="215" t="n"/>
      <c r="W130" s="215" t="n"/>
      <c r="X130" s="215" t="n"/>
      <c r="Y130" s="215" t="n"/>
    </row>
    <row r="131" ht="15.75" customFormat="1" customHeight="1" s="215">
      <c r="A131" s="39" t="n"/>
      <c r="U131" s="215" t="n"/>
      <c r="V131" s="215" t="n"/>
      <c r="W131" s="215" t="n"/>
      <c r="X131" s="215" t="n"/>
      <c r="Y131" s="215" t="n"/>
    </row>
    <row r="132" ht="15.75" customFormat="1" customHeight="1" s="215">
      <c r="A132" s="39" t="n"/>
      <c r="U132" s="215" t="n"/>
      <c r="V132" s="215" t="n"/>
      <c r="W132" s="215" t="n"/>
      <c r="X132" s="215" t="n"/>
      <c r="Y132" s="215" t="n"/>
    </row>
    <row r="133" ht="15.75" customFormat="1" customHeight="1" s="215">
      <c r="A133" s="39" t="n"/>
      <c r="U133" s="215" t="n"/>
      <c r="V133" s="215" t="n"/>
      <c r="W133" s="215" t="n"/>
      <c r="X133" s="215" t="n"/>
      <c r="Y133" s="215" t="n"/>
    </row>
    <row r="134" ht="15.75" customFormat="1" customHeight="1" s="215">
      <c r="A134" s="39" t="n"/>
      <c r="U134" s="215" t="n"/>
      <c r="V134" s="215" t="n"/>
      <c r="W134" s="215" t="n"/>
      <c r="X134" s="215" t="n"/>
      <c r="Y134" s="215" t="n"/>
    </row>
    <row r="135" ht="15.75" customFormat="1" customHeight="1" s="215">
      <c r="A135" s="39" t="n"/>
      <c r="U135" s="215" t="n"/>
      <c r="V135" s="215" t="n"/>
      <c r="W135" s="215" t="n"/>
      <c r="X135" s="215" t="n"/>
      <c r="Y135" s="215" t="n"/>
    </row>
    <row r="136" ht="15.75" customFormat="1" customHeight="1" s="215">
      <c r="A136" s="39" t="n"/>
      <c r="U136" s="215" t="n"/>
      <c r="V136" s="215" t="n"/>
      <c r="W136" s="215" t="n"/>
      <c r="X136" s="215" t="n"/>
      <c r="Y136" s="215" t="n"/>
    </row>
    <row r="137" ht="15.75" customFormat="1" customHeight="1" s="215">
      <c r="A137" s="39" t="n"/>
      <c r="U137" s="215" t="n"/>
      <c r="V137" s="215" t="n"/>
      <c r="W137" s="215" t="n"/>
      <c r="X137" s="215" t="n"/>
      <c r="Y137" s="215" t="n"/>
    </row>
    <row r="138" ht="15.75" customFormat="1" customHeight="1" s="215">
      <c r="A138" s="39" t="n"/>
      <c r="U138" s="215" t="n"/>
      <c r="V138" s="215" t="n"/>
      <c r="W138" s="215" t="n"/>
      <c r="X138" s="215" t="n"/>
      <c r="Y138" s="215" t="n"/>
    </row>
    <row r="139" ht="15.75" customFormat="1" customHeight="1" s="215">
      <c r="A139" s="39" t="n"/>
      <c r="U139" s="215" t="n"/>
      <c r="V139" s="215" t="n"/>
      <c r="W139" s="215" t="n"/>
      <c r="X139" s="215" t="n"/>
      <c r="Y139" s="215" t="n"/>
    </row>
    <row r="140" ht="15.75" customFormat="1" customHeight="1" s="215">
      <c r="A140" s="39" t="n"/>
      <c r="U140" s="215" t="n"/>
      <c r="V140" s="215" t="n"/>
      <c r="W140" s="215" t="n"/>
      <c r="X140" s="215" t="n"/>
      <c r="Y140" s="215" t="n"/>
    </row>
    <row r="141" ht="15.75" customFormat="1" customHeight="1" s="215">
      <c r="A141" s="39" t="n"/>
      <c r="U141" s="215" t="n"/>
      <c r="V141" s="215" t="n"/>
      <c r="W141" s="215" t="n"/>
      <c r="X141" s="215" t="n"/>
      <c r="Y141" s="215" t="n"/>
    </row>
    <row r="142" ht="15.75" customFormat="1" customHeight="1" s="215">
      <c r="A142" s="39" t="n"/>
      <c r="U142" s="215" t="n"/>
      <c r="V142" s="215" t="n"/>
      <c r="W142" s="215" t="n"/>
      <c r="X142" s="215" t="n"/>
      <c r="Y142" s="215" t="n"/>
    </row>
    <row r="143" ht="15.75" customFormat="1" customHeight="1" s="215">
      <c r="A143" s="39" t="n"/>
      <c r="U143" s="215" t="n"/>
      <c r="V143" s="215" t="n"/>
      <c r="W143" s="215" t="n"/>
      <c r="X143" s="215" t="n"/>
      <c r="Y143" s="215" t="n"/>
    </row>
    <row r="144" ht="15.75" customFormat="1" customHeight="1" s="215">
      <c r="A144" s="39" t="n"/>
      <c r="U144" s="215" t="n"/>
      <c r="V144" s="215" t="n"/>
      <c r="W144" s="215" t="n"/>
      <c r="X144" s="215" t="n"/>
      <c r="Y144" s="215" t="n"/>
    </row>
    <row r="145" ht="15.75" customFormat="1" customHeight="1" s="215">
      <c r="A145" s="39" t="n"/>
      <c r="U145" s="215" t="n"/>
      <c r="V145" s="215" t="n"/>
      <c r="W145" s="215" t="n"/>
      <c r="X145" s="215" t="n"/>
      <c r="Y145" s="215" t="n"/>
    </row>
    <row r="146" ht="15.75" customFormat="1" customHeight="1" s="215">
      <c r="A146" s="39" t="n"/>
      <c r="U146" s="215" t="n"/>
      <c r="V146" s="215" t="n"/>
      <c r="W146" s="215" t="n"/>
      <c r="X146" s="215" t="n"/>
      <c r="Y146" s="215" t="n"/>
    </row>
    <row r="147" ht="15.75" customFormat="1" customHeight="1" s="215">
      <c r="A147" s="39" t="n"/>
      <c r="U147" s="215" t="n"/>
      <c r="V147" s="215" t="n"/>
      <c r="W147" s="215" t="n"/>
      <c r="X147" s="215" t="n"/>
      <c r="Y147" s="215" t="n"/>
    </row>
    <row r="148" ht="15.75" customFormat="1" customHeight="1" s="215">
      <c r="A148" s="39" t="n"/>
      <c r="U148" s="215" t="n"/>
      <c r="V148" s="215" t="n"/>
      <c r="W148" s="215" t="n"/>
      <c r="X148" s="215" t="n"/>
      <c r="Y148" s="215" t="n"/>
    </row>
    <row r="149" ht="15.75" customFormat="1" customHeight="1" s="215">
      <c r="A149" s="39" t="n"/>
      <c r="U149" s="215" t="n"/>
      <c r="V149" s="215" t="n"/>
      <c r="W149" s="215" t="n"/>
      <c r="X149" s="215" t="n"/>
      <c r="Y149" s="215" t="n"/>
    </row>
    <row r="150" ht="15.75" customFormat="1" customHeight="1" s="215">
      <c r="A150" s="39" t="n"/>
      <c r="U150" s="215" t="n"/>
      <c r="V150" s="215" t="n"/>
      <c r="W150" s="215" t="n"/>
      <c r="X150" s="215" t="n"/>
      <c r="Y150" s="215" t="n"/>
    </row>
    <row r="151" ht="15.75" customFormat="1" customHeight="1" s="215">
      <c r="A151" s="39" t="n"/>
      <c r="U151" s="215" t="n"/>
      <c r="V151" s="215" t="n"/>
      <c r="W151" s="215" t="n"/>
      <c r="X151" s="215" t="n"/>
      <c r="Y151" s="215" t="n"/>
    </row>
    <row r="152" ht="15.75" customFormat="1" customHeight="1" s="215">
      <c r="A152" s="39" t="n"/>
      <c r="U152" s="215" t="n"/>
      <c r="V152" s="215" t="n"/>
      <c r="W152" s="215" t="n"/>
      <c r="X152" s="215" t="n"/>
      <c r="Y152" s="215" t="n"/>
    </row>
    <row r="153" ht="15.75" customFormat="1" customHeight="1" s="215">
      <c r="A153" s="39" t="n"/>
      <c r="U153" s="215" t="n"/>
      <c r="V153" s="215" t="n"/>
      <c r="W153" s="215" t="n"/>
      <c r="X153" s="215" t="n"/>
      <c r="Y153" s="215" t="n"/>
    </row>
    <row r="154" ht="15.75" customFormat="1" customHeight="1" s="215">
      <c r="A154" s="39" t="n"/>
      <c r="U154" s="215" t="n"/>
      <c r="V154" s="215" t="n"/>
      <c r="W154" s="215" t="n"/>
      <c r="X154" s="215" t="n"/>
      <c r="Y154" s="215" t="n"/>
    </row>
    <row r="155" ht="15.75" customFormat="1" customHeight="1" s="215">
      <c r="A155" s="39" t="n"/>
      <c r="U155" s="215" t="n"/>
      <c r="V155" s="215" t="n"/>
      <c r="W155" s="215" t="n"/>
      <c r="X155" s="215" t="n"/>
      <c r="Y155" s="215" t="n"/>
    </row>
    <row r="156" ht="15.75" customFormat="1" customHeight="1" s="215">
      <c r="A156" s="39" t="n"/>
      <c r="U156" s="215" t="n"/>
      <c r="V156" s="215" t="n"/>
      <c r="W156" s="215" t="n"/>
      <c r="X156" s="215" t="n"/>
      <c r="Y156" s="215" t="n"/>
    </row>
    <row r="157" ht="15.75" customFormat="1" customHeight="1" s="215">
      <c r="A157" s="39" t="n"/>
      <c r="U157" s="215" t="n"/>
      <c r="V157" s="215" t="n"/>
      <c r="W157" s="215" t="n"/>
      <c r="X157" s="215" t="n"/>
      <c r="Y157" s="215" t="n"/>
    </row>
    <row r="158" ht="15.75" customFormat="1" customHeight="1" s="215">
      <c r="A158" s="39" t="n"/>
      <c r="U158" s="215" t="n"/>
      <c r="V158" s="215" t="n"/>
      <c r="W158" s="215" t="n"/>
      <c r="X158" s="215" t="n"/>
      <c r="Y158" s="215" t="n"/>
    </row>
    <row r="159" ht="15.75" customFormat="1" customHeight="1" s="215">
      <c r="A159" s="39" t="n"/>
      <c r="U159" s="215" t="n"/>
      <c r="V159" s="215" t="n"/>
      <c r="W159" s="215" t="n"/>
      <c r="X159" s="215" t="n"/>
      <c r="Y159" s="215" t="n"/>
    </row>
    <row r="160" ht="15.75" customFormat="1" customHeight="1" s="215">
      <c r="A160" s="39" t="n"/>
      <c r="U160" s="215" t="n"/>
      <c r="V160" s="215" t="n"/>
      <c r="W160" s="215" t="n"/>
      <c r="X160" s="215" t="n"/>
      <c r="Y160" s="215" t="n"/>
    </row>
    <row r="161" ht="15.75" customFormat="1" customHeight="1" s="215">
      <c r="A161" s="39" t="n"/>
      <c r="U161" s="215" t="n"/>
      <c r="V161" s="215" t="n"/>
      <c r="W161" s="215" t="n"/>
      <c r="X161" s="215" t="n"/>
      <c r="Y161" s="215" t="n"/>
    </row>
    <row r="162" ht="15.75" customFormat="1" customHeight="1" s="215">
      <c r="A162" s="39" t="n"/>
      <c r="U162" s="215" t="n"/>
      <c r="V162" s="215" t="n"/>
      <c r="W162" s="215" t="n"/>
      <c r="X162" s="215" t="n"/>
      <c r="Y162" s="215" t="n"/>
    </row>
    <row r="163" ht="15.75" customFormat="1" customHeight="1" s="215">
      <c r="A163" s="39" t="n"/>
      <c r="U163" s="215" t="n"/>
      <c r="V163" s="215" t="n"/>
      <c r="W163" s="215" t="n"/>
      <c r="X163" s="215" t="n"/>
      <c r="Y163" s="215" t="n"/>
    </row>
    <row r="164" ht="15.75" customFormat="1" customHeight="1" s="215">
      <c r="A164" s="39" t="n"/>
      <c r="U164" s="215" t="n"/>
      <c r="V164" s="215" t="n"/>
      <c r="W164" s="215" t="n"/>
      <c r="X164" s="215" t="n"/>
      <c r="Y164" s="215" t="n"/>
    </row>
    <row r="165" ht="15.75" customFormat="1" customHeight="1" s="215">
      <c r="A165" s="39" t="n"/>
      <c r="U165" s="215" t="n"/>
      <c r="V165" s="215" t="n"/>
      <c r="W165" s="215" t="n"/>
      <c r="X165" s="215" t="n"/>
      <c r="Y165" s="215" t="n"/>
    </row>
    <row r="166" ht="15.75" customFormat="1" customHeight="1" s="215">
      <c r="A166" s="39" t="n"/>
      <c r="U166" s="215" t="n"/>
      <c r="V166" s="215" t="n"/>
      <c r="W166" s="215" t="n"/>
      <c r="X166" s="215" t="n"/>
      <c r="Y166" s="215" t="n"/>
    </row>
    <row r="167" ht="15.75" customFormat="1" customHeight="1" s="215">
      <c r="A167" s="39" t="n"/>
      <c r="U167" s="215" t="n"/>
      <c r="V167" s="215" t="n"/>
      <c r="W167" s="215" t="n"/>
      <c r="X167" s="215" t="n"/>
      <c r="Y167" s="215" t="n"/>
    </row>
    <row r="168" ht="15.75" customFormat="1" customHeight="1" s="215">
      <c r="A168" s="39" t="n"/>
      <c r="U168" s="215" t="n"/>
      <c r="V168" s="215" t="n"/>
      <c r="W168" s="215" t="n"/>
      <c r="X168" s="215" t="n"/>
      <c r="Y168" s="215" t="n"/>
    </row>
    <row r="169" ht="15.75" customFormat="1" customHeight="1" s="215">
      <c r="A169" s="39" t="n"/>
      <c r="U169" s="215" t="n"/>
      <c r="V169" s="215" t="n"/>
      <c r="W169" s="215" t="n"/>
      <c r="X169" s="215" t="n"/>
      <c r="Y169" s="215" t="n"/>
    </row>
    <row r="170" ht="15.75" customFormat="1" customHeight="1" s="215">
      <c r="A170" s="39" t="n"/>
      <c r="U170" s="215" t="n"/>
      <c r="V170" s="215" t="n"/>
      <c r="W170" s="215" t="n"/>
      <c r="X170" s="215" t="n"/>
      <c r="Y170" s="215" t="n"/>
    </row>
    <row r="171" ht="15.75" customFormat="1" customHeight="1" s="215">
      <c r="A171" s="39" t="n"/>
      <c r="U171" s="215" t="n"/>
      <c r="V171" s="215" t="n"/>
      <c r="W171" s="215" t="n"/>
      <c r="X171" s="215" t="n"/>
      <c r="Y171" s="215" t="n"/>
    </row>
    <row r="172" ht="15.75" customFormat="1" customHeight="1" s="215">
      <c r="A172" s="39" t="n"/>
      <c r="U172" s="215" t="n"/>
      <c r="V172" s="215" t="n"/>
      <c r="W172" s="215" t="n"/>
      <c r="X172" s="215" t="n"/>
      <c r="Y172" s="215" t="n"/>
    </row>
    <row r="173" ht="15.75" customFormat="1" customHeight="1" s="215">
      <c r="A173" s="39" t="n"/>
      <c r="U173" s="215" t="n"/>
      <c r="V173" s="215" t="n"/>
      <c r="W173" s="215" t="n"/>
      <c r="X173" s="215" t="n"/>
      <c r="Y173" s="215" t="n"/>
    </row>
    <row r="174" ht="15.75" customFormat="1" customHeight="1" s="215">
      <c r="A174" s="39" t="n"/>
      <c r="U174" s="215" t="n"/>
      <c r="V174" s="215" t="n"/>
      <c r="W174" s="215" t="n"/>
      <c r="X174" s="215" t="n"/>
      <c r="Y174" s="215" t="n"/>
    </row>
    <row r="175" ht="15.75" customFormat="1" customHeight="1" s="215">
      <c r="A175" s="39" t="n"/>
      <c r="U175" s="215" t="n"/>
      <c r="V175" s="215" t="n"/>
      <c r="W175" s="215" t="n"/>
      <c r="X175" s="215" t="n"/>
      <c r="Y175" s="215" t="n"/>
    </row>
    <row r="176" ht="15.75" customFormat="1" customHeight="1" s="215">
      <c r="A176" s="39" t="n"/>
      <c r="U176" s="215" t="n"/>
      <c r="V176" s="215" t="n"/>
      <c r="W176" s="215" t="n"/>
      <c r="X176" s="215" t="n"/>
      <c r="Y176" s="215" t="n"/>
    </row>
    <row r="177" ht="15.75" customFormat="1" customHeight="1" s="215">
      <c r="A177" s="39" t="n"/>
      <c r="U177" s="215" t="n"/>
      <c r="V177" s="215" t="n"/>
      <c r="W177" s="215" t="n"/>
      <c r="X177" s="215" t="n"/>
      <c r="Y177" s="215" t="n"/>
    </row>
    <row r="178" ht="15.75" customFormat="1" customHeight="1" s="215">
      <c r="A178" s="39" t="n"/>
      <c r="U178" s="215" t="n"/>
      <c r="V178" s="215" t="n"/>
      <c r="W178" s="215" t="n"/>
      <c r="X178" s="215" t="n"/>
      <c r="Y178" s="215" t="n"/>
    </row>
    <row r="179" ht="15.75" customFormat="1" customHeight="1" s="215">
      <c r="A179" s="39" t="n"/>
      <c r="U179" s="215" t="n"/>
      <c r="V179" s="215" t="n"/>
      <c r="W179" s="215" t="n"/>
      <c r="X179" s="215" t="n"/>
      <c r="Y179" s="215" t="n"/>
    </row>
    <row r="180" ht="15.75" customFormat="1" customHeight="1" s="215">
      <c r="A180" s="39" t="n"/>
      <c r="U180" s="215" t="n"/>
      <c r="V180" s="215" t="n"/>
      <c r="W180" s="215" t="n"/>
      <c r="X180" s="215" t="n"/>
      <c r="Y180" s="215" t="n"/>
    </row>
    <row r="181" ht="15.75" customFormat="1" customHeight="1" s="215">
      <c r="A181" s="39" t="n"/>
      <c r="U181" s="215" t="n"/>
      <c r="V181" s="215" t="n"/>
      <c r="W181" s="215" t="n"/>
      <c r="X181" s="215" t="n"/>
      <c r="Y181" s="215" t="n"/>
    </row>
    <row r="182" ht="15.75" customFormat="1" customHeight="1" s="215">
      <c r="A182" s="39" t="n"/>
      <c r="U182" s="215" t="n"/>
      <c r="V182" s="215" t="n"/>
      <c r="W182" s="215" t="n"/>
      <c r="X182" s="215" t="n"/>
      <c r="Y182" s="215" t="n"/>
    </row>
    <row r="183" ht="15.75" customFormat="1" customHeight="1" s="215">
      <c r="A183" s="39" t="n"/>
      <c r="U183" s="215" t="n"/>
      <c r="V183" s="215" t="n"/>
      <c r="W183" s="215" t="n"/>
      <c r="X183" s="215" t="n"/>
      <c r="Y183" s="215" t="n"/>
    </row>
    <row r="184" ht="15.75" customFormat="1" customHeight="1" s="215">
      <c r="A184" s="39" t="n"/>
      <c r="U184" s="215" t="n"/>
      <c r="V184" s="215" t="n"/>
      <c r="W184" s="215" t="n"/>
      <c r="X184" s="215" t="n"/>
      <c r="Y184" s="215" t="n"/>
    </row>
    <row r="185" ht="15.75" customFormat="1" customHeight="1" s="215">
      <c r="A185" s="39" t="n"/>
      <c r="U185" s="215" t="n"/>
      <c r="V185" s="215" t="n"/>
      <c r="W185" s="215" t="n"/>
      <c r="X185" s="215" t="n"/>
      <c r="Y185" s="215" t="n"/>
    </row>
    <row r="186" ht="15.75" customFormat="1" customHeight="1" s="215">
      <c r="A186" s="39" t="n"/>
      <c r="U186" s="215" t="n"/>
      <c r="V186" s="215" t="n"/>
      <c r="W186" s="215" t="n"/>
      <c r="X186" s="215" t="n"/>
      <c r="Y186" s="215" t="n"/>
    </row>
    <row r="187" ht="15.75" customFormat="1" customHeight="1" s="215">
      <c r="A187" s="39" t="n"/>
      <c r="U187" s="215" t="n"/>
      <c r="V187" s="215" t="n"/>
      <c r="W187" s="215" t="n"/>
      <c r="X187" s="215" t="n"/>
      <c r="Y187" s="215" t="n"/>
    </row>
    <row r="188" ht="15.75" customFormat="1" customHeight="1" s="215">
      <c r="A188" s="39" t="n"/>
      <c r="U188" s="215" t="n"/>
      <c r="V188" s="215" t="n"/>
      <c r="W188" s="215" t="n"/>
      <c r="X188" s="215" t="n"/>
      <c r="Y188" s="215" t="n"/>
    </row>
    <row r="189" ht="15.75" customFormat="1" customHeight="1" s="215">
      <c r="A189" s="39" t="n"/>
      <c r="U189" s="215" t="n"/>
      <c r="V189" s="215" t="n"/>
      <c r="W189" s="215" t="n"/>
      <c r="X189" s="215" t="n"/>
      <c r="Y189" s="215" t="n"/>
    </row>
    <row r="190" ht="15.75" customFormat="1" customHeight="1" s="215">
      <c r="A190" s="39" t="n"/>
      <c r="U190" s="215" t="n"/>
      <c r="V190" s="215" t="n"/>
      <c r="W190" s="215" t="n"/>
      <c r="X190" s="215" t="n"/>
      <c r="Y190" s="215" t="n"/>
    </row>
    <row r="191" ht="15.75" customFormat="1" customHeight="1" s="215">
      <c r="A191" s="39" t="n"/>
      <c r="U191" s="215" t="n"/>
      <c r="V191" s="215" t="n"/>
      <c r="W191" s="215" t="n"/>
      <c r="X191" s="215" t="n"/>
      <c r="Y191" s="215" t="n"/>
    </row>
    <row r="192" ht="15.75" customFormat="1" customHeight="1" s="215">
      <c r="A192" s="39" t="n"/>
      <c r="U192" s="215" t="n"/>
      <c r="V192" s="215" t="n"/>
      <c r="W192" s="215" t="n"/>
      <c r="X192" s="215" t="n"/>
      <c r="Y192" s="215" t="n"/>
    </row>
    <row r="193" ht="15.75" customFormat="1" customHeight="1" s="215">
      <c r="A193" s="39" t="n"/>
      <c r="U193" s="215" t="n"/>
      <c r="V193" s="215" t="n"/>
      <c r="W193" s="215" t="n"/>
      <c r="X193" s="215" t="n"/>
      <c r="Y193" s="215" t="n"/>
    </row>
    <row r="194" ht="15.75" customFormat="1" customHeight="1" s="215">
      <c r="A194" s="39" t="n"/>
      <c r="U194" s="215" t="n"/>
      <c r="V194" s="215" t="n"/>
      <c r="W194" s="215" t="n"/>
      <c r="X194" s="215" t="n"/>
      <c r="Y194" s="215" t="n"/>
    </row>
    <row r="195" ht="15.75" customFormat="1" customHeight="1" s="215">
      <c r="A195" s="39" t="n"/>
      <c r="U195" s="215" t="n"/>
      <c r="V195" s="215" t="n"/>
      <c r="W195" s="215" t="n"/>
      <c r="X195" s="215" t="n"/>
      <c r="Y195" s="215" t="n"/>
    </row>
    <row r="196" ht="15.75" customFormat="1" customHeight="1" s="215">
      <c r="A196" s="39" t="n"/>
      <c r="U196" s="215" t="n"/>
      <c r="V196" s="215" t="n"/>
      <c r="W196" s="215" t="n"/>
      <c r="X196" s="215" t="n"/>
      <c r="Y196" s="215" t="n"/>
    </row>
    <row r="197" ht="15.75" customFormat="1" customHeight="1" s="215">
      <c r="A197" s="39" t="n"/>
      <c r="U197" s="215" t="n"/>
      <c r="V197" s="215" t="n"/>
      <c r="W197" s="215" t="n"/>
      <c r="X197" s="215" t="n"/>
      <c r="Y197" s="215" t="n"/>
    </row>
    <row r="198" ht="15.75" customFormat="1" customHeight="1" s="215">
      <c r="A198" s="39" t="n"/>
      <c r="U198" s="215" t="n"/>
      <c r="V198" s="215" t="n"/>
      <c r="W198" s="215" t="n"/>
      <c r="X198" s="215" t="n"/>
      <c r="Y198" s="215" t="n"/>
    </row>
    <row r="199" ht="15.75" customFormat="1" customHeight="1" s="215">
      <c r="A199" s="39" t="n"/>
      <c r="U199" s="215" t="n"/>
      <c r="V199" s="215" t="n"/>
      <c r="W199" s="215" t="n"/>
      <c r="X199" s="215" t="n"/>
      <c r="Y199" s="215" t="n"/>
    </row>
    <row r="200" ht="15.75" customFormat="1" customHeight="1" s="215">
      <c r="A200" s="39" t="n"/>
      <c r="U200" s="215" t="n"/>
      <c r="V200" s="215" t="n"/>
      <c r="W200" s="215" t="n"/>
      <c r="X200" s="215" t="n"/>
      <c r="Y200" s="215" t="n"/>
    </row>
    <row r="201" ht="15.75" customFormat="1" customHeight="1" s="215">
      <c r="A201" s="39" t="n"/>
      <c r="U201" s="215" t="n"/>
      <c r="V201" s="215" t="n"/>
      <c r="W201" s="215" t="n"/>
      <c r="X201" s="215" t="n"/>
      <c r="Y201" s="215" t="n"/>
    </row>
    <row r="202" ht="15.75" customFormat="1" customHeight="1" s="215">
      <c r="A202" s="39" t="n"/>
      <c r="U202" s="215" t="n"/>
      <c r="V202" s="215" t="n"/>
      <c r="W202" s="215" t="n"/>
      <c r="X202" s="215" t="n"/>
      <c r="Y202" s="215" t="n"/>
    </row>
    <row r="203" ht="15.75" customFormat="1" customHeight="1" s="215">
      <c r="A203" s="39" t="n"/>
      <c r="U203" s="215" t="n"/>
      <c r="V203" s="215" t="n"/>
      <c r="W203" s="215" t="n"/>
      <c r="X203" s="215" t="n"/>
      <c r="Y203" s="215" t="n"/>
    </row>
    <row r="204" ht="15.75" customFormat="1" customHeight="1" s="215">
      <c r="A204" s="39" t="n"/>
      <c r="U204" s="215" t="n"/>
      <c r="V204" s="215" t="n"/>
      <c r="W204" s="215" t="n"/>
      <c r="X204" s="215" t="n"/>
      <c r="Y204" s="215" t="n"/>
    </row>
    <row r="205" ht="15.75" customFormat="1" customHeight="1" s="215">
      <c r="A205" s="39" t="n"/>
      <c r="U205" s="215" t="n"/>
      <c r="V205" s="215" t="n"/>
      <c r="W205" s="215" t="n"/>
      <c r="X205" s="215" t="n"/>
      <c r="Y205" s="215" t="n"/>
    </row>
    <row r="206" ht="15.75" customFormat="1" customHeight="1" s="215">
      <c r="A206" s="39" t="n"/>
      <c r="U206" s="215" t="n"/>
      <c r="V206" s="215" t="n"/>
      <c r="W206" s="215" t="n"/>
      <c r="X206" s="215" t="n"/>
      <c r="Y206" s="215" t="n"/>
    </row>
    <row r="207" ht="15.75" customFormat="1" customHeight="1" s="215">
      <c r="A207" s="39" t="n"/>
      <c r="U207" s="215" t="n"/>
      <c r="V207" s="215" t="n"/>
      <c r="W207" s="215" t="n"/>
      <c r="X207" s="215" t="n"/>
      <c r="Y207" s="215" t="n"/>
    </row>
    <row r="208" ht="15.75" customFormat="1" customHeight="1" s="215">
      <c r="A208" s="39" t="n"/>
      <c r="U208" s="215" t="n"/>
      <c r="V208" s="215" t="n"/>
      <c r="W208" s="215" t="n"/>
      <c r="X208" s="215" t="n"/>
      <c r="Y208" s="215" t="n"/>
    </row>
    <row r="209" ht="15.75" customFormat="1" customHeight="1" s="215">
      <c r="A209" s="39" t="n"/>
      <c r="U209" s="215" t="n"/>
      <c r="V209" s="215" t="n"/>
      <c r="W209" s="215" t="n"/>
      <c r="X209" s="215" t="n"/>
      <c r="Y209" s="215" t="n"/>
    </row>
    <row r="210" ht="15.75" customFormat="1" customHeight="1" s="215">
      <c r="A210" s="39" t="n"/>
      <c r="U210" s="215" t="n"/>
      <c r="V210" s="215" t="n"/>
      <c r="W210" s="215" t="n"/>
      <c r="X210" s="215" t="n"/>
      <c r="Y210" s="215" t="n"/>
    </row>
    <row r="211" ht="15.75" customFormat="1" customHeight="1" s="215">
      <c r="A211" s="39" t="n"/>
      <c r="U211" s="215" t="n"/>
      <c r="V211" s="215" t="n"/>
      <c r="W211" s="215" t="n"/>
      <c r="X211" s="215" t="n"/>
      <c r="Y211" s="215" t="n"/>
    </row>
    <row r="212" ht="15.75" customFormat="1" customHeight="1" s="215">
      <c r="A212" s="39" t="n"/>
      <c r="U212" s="215" t="n"/>
      <c r="V212" s="215" t="n"/>
      <c r="W212" s="215" t="n"/>
      <c r="X212" s="215" t="n"/>
      <c r="Y212" s="215" t="n"/>
    </row>
    <row r="213" ht="15.75" customFormat="1" customHeight="1" s="215">
      <c r="A213" s="39" t="n"/>
      <c r="U213" s="215" t="n"/>
      <c r="V213" s="215" t="n"/>
      <c r="W213" s="215" t="n"/>
      <c r="X213" s="215" t="n"/>
      <c r="Y213" s="215" t="n"/>
    </row>
    <row r="214" ht="15.75" customFormat="1" customHeight="1" s="215">
      <c r="A214" s="39" t="n"/>
      <c r="U214" s="215" t="n"/>
      <c r="V214" s="215" t="n"/>
      <c r="W214" s="215" t="n"/>
      <c r="X214" s="215" t="n"/>
      <c r="Y214" s="215" t="n"/>
    </row>
    <row r="215" ht="15.75" customFormat="1" customHeight="1" s="215">
      <c r="A215" s="39" t="n"/>
      <c r="U215" s="215" t="n"/>
      <c r="V215" s="215" t="n"/>
      <c r="W215" s="215" t="n"/>
      <c r="X215" s="215" t="n"/>
      <c r="Y215" s="215" t="n"/>
    </row>
    <row r="216" ht="15.75" customFormat="1" customHeight="1" s="215">
      <c r="A216" s="39" t="n"/>
      <c r="U216" s="215" t="n"/>
      <c r="V216" s="215" t="n"/>
      <c r="W216" s="215" t="n"/>
      <c r="X216" s="215" t="n"/>
      <c r="Y216" s="215" t="n"/>
    </row>
    <row r="217" ht="15.75" customFormat="1" customHeight="1" s="215">
      <c r="A217" s="39" t="n"/>
      <c r="U217" s="215" t="n"/>
      <c r="V217" s="215" t="n"/>
      <c r="W217" s="215" t="n"/>
      <c r="X217" s="215" t="n"/>
      <c r="Y217" s="215" t="n"/>
    </row>
    <row r="218" ht="15.75" customFormat="1" customHeight="1" s="215">
      <c r="A218" s="39" t="n"/>
      <c r="U218" s="215" t="n"/>
      <c r="V218" s="215" t="n"/>
      <c r="W218" s="215" t="n"/>
      <c r="X218" s="215" t="n"/>
      <c r="Y218" s="215" t="n"/>
    </row>
    <row r="219" ht="15.75" customFormat="1" customHeight="1" s="215">
      <c r="A219" s="39" t="n"/>
      <c r="U219" s="215" t="n"/>
      <c r="V219" s="215" t="n"/>
      <c r="W219" s="215" t="n"/>
      <c r="X219" s="215" t="n"/>
      <c r="Y219" s="215" t="n"/>
    </row>
    <row r="220" ht="15.75" customFormat="1" customHeight="1" s="215">
      <c r="A220" s="39" t="n"/>
      <c r="U220" s="215" t="n"/>
      <c r="V220" s="215" t="n"/>
      <c r="W220" s="215" t="n"/>
      <c r="X220" s="215" t="n"/>
      <c r="Y220" s="215" t="n"/>
    </row>
    <row r="221" ht="15.75" customFormat="1" customHeight="1" s="215">
      <c r="A221" s="39" t="n"/>
      <c r="U221" s="215" t="n"/>
      <c r="V221" s="215" t="n"/>
      <c r="W221" s="215" t="n"/>
      <c r="X221" s="215" t="n"/>
      <c r="Y221" s="215" t="n"/>
    </row>
    <row r="222" ht="15.75" customFormat="1" customHeight="1" s="215">
      <c r="A222" s="39" t="n"/>
      <c r="U222" s="215" t="n"/>
      <c r="V222" s="215" t="n"/>
      <c r="W222" s="215" t="n"/>
      <c r="X222" s="215" t="n"/>
      <c r="Y222" s="215" t="n"/>
    </row>
    <row r="223" ht="15.75" customFormat="1" customHeight="1" s="215">
      <c r="A223" s="39" t="n"/>
      <c r="U223" s="215" t="n"/>
      <c r="V223" s="215" t="n"/>
      <c r="W223" s="215" t="n"/>
      <c r="X223" s="215" t="n"/>
      <c r="Y223" s="215" t="n"/>
    </row>
    <row r="224" ht="15.75" customFormat="1" customHeight="1" s="215">
      <c r="A224" s="39" t="n"/>
      <c r="U224" s="215" t="n"/>
      <c r="V224" s="215" t="n"/>
      <c r="W224" s="215" t="n"/>
      <c r="X224" s="215" t="n"/>
      <c r="Y224" s="215" t="n"/>
    </row>
    <row r="225" ht="15.75" customFormat="1" customHeight="1" s="215">
      <c r="A225" s="39" t="n"/>
      <c r="U225" s="215" t="n"/>
      <c r="V225" s="215" t="n"/>
      <c r="W225" s="215" t="n"/>
      <c r="X225" s="215" t="n"/>
      <c r="Y225" s="215" t="n"/>
    </row>
    <row r="226" ht="15.75" customFormat="1" customHeight="1" s="215">
      <c r="A226" s="39" t="n"/>
      <c r="U226" s="215" t="n"/>
      <c r="V226" s="215" t="n"/>
      <c r="W226" s="215" t="n"/>
      <c r="X226" s="215" t="n"/>
      <c r="Y226" s="215" t="n"/>
    </row>
    <row r="227" ht="15.75" customFormat="1" customHeight="1" s="215">
      <c r="A227" s="39" t="n"/>
      <c r="U227" s="215" t="n"/>
      <c r="V227" s="215" t="n"/>
      <c r="W227" s="215" t="n"/>
      <c r="X227" s="215" t="n"/>
      <c r="Y227" s="215" t="n"/>
    </row>
    <row r="228" ht="15.75" customFormat="1" customHeight="1" s="215">
      <c r="A228" s="39" t="n"/>
      <c r="U228" s="215" t="n"/>
      <c r="V228" s="215" t="n"/>
      <c r="W228" s="215" t="n"/>
      <c r="X228" s="215" t="n"/>
      <c r="Y228" s="215" t="n"/>
    </row>
    <row r="229" ht="15.75" customFormat="1" customHeight="1" s="215">
      <c r="A229" s="39" t="n"/>
      <c r="U229" s="215" t="n"/>
      <c r="V229" s="215" t="n"/>
      <c r="W229" s="215" t="n"/>
      <c r="X229" s="215" t="n"/>
      <c r="Y229" s="215" t="n"/>
    </row>
    <row r="230" ht="15.75" customFormat="1" customHeight="1" s="215">
      <c r="A230" s="39" t="n"/>
      <c r="U230" s="215" t="n"/>
      <c r="V230" s="215" t="n"/>
      <c r="W230" s="215" t="n"/>
      <c r="X230" s="215" t="n"/>
      <c r="Y230" s="215" t="n"/>
    </row>
    <row r="231" ht="15.75" customFormat="1" customHeight="1" s="215">
      <c r="A231" s="39" t="n"/>
      <c r="U231" s="215" t="n"/>
      <c r="V231" s="215" t="n"/>
      <c r="W231" s="215" t="n"/>
      <c r="X231" s="215" t="n"/>
      <c r="Y231" s="215" t="n"/>
    </row>
    <row r="232" ht="15.75" customFormat="1" customHeight="1" s="215">
      <c r="A232" s="39" t="n"/>
      <c r="U232" s="215" t="n"/>
      <c r="V232" s="215" t="n"/>
      <c r="W232" s="215" t="n"/>
      <c r="X232" s="215" t="n"/>
      <c r="Y232" s="215" t="n"/>
    </row>
    <row r="233" ht="15.75" customFormat="1" customHeight="1" s="215">
      <c r="A233" s="39" t="n"/>
      <c r="U233" s="215" t="n"/>
      <c r="V233" s="215" t="n"/>
      <c r="W233" s="215" t="n"/>
      <c r="X233" s="215" t="n"/>
      <c r="Y233" s="215" t="n"/>
    </row>
    <row r="234" ht="15.75" customFormat="1" customHeight="1" s="215">
      <c r="A234" s="39" t="n"/>
      <c r="U234" s="215" t="n"/>
      <c r="V234" s="215" t="n"/>
      <c r="W234" s="215" t="n"/>
      <c r="X234" s="215" t="n"/>
      <c r="Y234" s="215" t="n"/>
    </row>
    <row r="235" ht="15.75" customFormat="1" customHeight="1" s="215">
      <c r="A235" s="39" t="n"/>
      <c r="U235" s="215" t="n"/>
      <c r="V235" s="215" t="n"/>
      <c r="W235" s="215" t="n"/>
      <c r="X235" s="215" t="n"/>
      <c r="Y235" s="215" t="n"/>
    </row>
    <row r="236" ht="15.75" customFormat="1" customHeight="1" s="215">
      <c r="A236" s="39" t="n"/>
      <c r="U236" s="215" t="n"/>
      <c r="V236" s="215" t="n"/>
      <c r="W236" s="215" t="n"/>
      <c r="X236" s="215" t="n"/>
      <c r="Y236" s="215" t="n"/>
    </row>
    <row r="237" ht="15.75" customFormat="1" customHeight="1" s="215">
      <c r="A237" s="39" t="n"/>
      <c r="U237" s="215" t="n"/>
      <c r="V237" s="215" t="n"/>
      <c r="W237" s="215" t="n"/>
      <c r="X237" s="215" t="n"/>
      <c r="Y237" s="215" t="n"/>
    </row>
    <row r="238" ht="15.75" customFormat="1" customHeight="1" s="215">
      <c r="A238" s="39" t="n"/>
      <c r="U238" s="215" t="n"/>
      <c r="V238" s="215" t="n"/>
      <c r="W238" s="215" t="n"/>
      <c r="X238" s="215" t="n"/>
      <c r="Y238" s="215" t="n"/>
    </row>
    <row r="239" ht="15.75" customFormat="1" customHeight="1" s="215">
      <c r="A239" s="39" t="n"/>
      <c r="U239" s="215" t="n"/>
      <c r="V239" s="215" t="n"/>
      <c r="W239" s="215" t="n"/>
      <c r="X239" s="215" t="n"/>
      <c r="Y239" s="215" t="n"/>
    </row>
    <row r="240" ht="15.75" customFormat="1" customHeight="1" s="215">
      <c r="A240" s="39" t="n"/>
      <c r="U240" s="215" t="n"/>
      <c r="V240" s="215" t="n"/>
      <c r="W240" s="215" t="n"/>
      <c r="X240" s="215" t="n"/>
      <c r="Y240" s="215" t="n"/>
    </row>
    <row r="241" ht="15.75" customFormat="1" customHeight="1" s="215">
      <c r="A241" s="39" t="n"/>
      <c r="U241" s="215" t="n"/>
      <c r="V241" s="215" t="n"/>
      <c r="W241" s="215" t="n"/>
      <c r="X241" s="215" t="n"/>
      <c r="Y241" s="215" t="n"/>
    </row>
    <row r="242" ht="15.75" customFormat="1" customHeight="1" s="215">
      <c r="A242" s="39" t="n"/>
      <c r="U242" s="215" t="n"/>
      <c r="V242" s="215" t="n"/>
      <c r="W242" s="215" t="n"/>
      <c r="X242" s="215" t="n"/>
      <c r="Y242" s="215" t="n"/>
    </row>
    <row r="243" ht="15.75" customFormat="1" customHeight="1" s="215">
      <c r="A243" s="39" t="n"/>
      <c r="U243" s="215" t="n"/>
      <c r="V243" s="215" t="n"/>
      <c r="W243" s="215" t="n"/>
      <c r="X243" s="215" t="n"/>
      <c r="Y243" s="215" t="n"/>
    </row>
    <row r="244" ht="15.75" customFormat="1" customHeight="1" s="215">
      <c r="A244" s="39" t="n"/>
      <c r="U244" s="215" t="n"/>
      <c r="V244" s="215" t="n"/>
      <c r="W244" s="215" t="n"/>
      <c r="X244" s="215" t="n"/>
      <c r="Y244" s="215" t="n"/>
    </row>
    <row r="245" ht="15.75" customFormat="1" customHeight="1" s="215">
      <c r="A245" s="39" t="n"/>
      <c r="U245" s="215" t="n"/>
      <c r="V245" s="215" t="n"/>
      <c r="W245" s="215" t="n"/>
      <c r="X245" s="215" t="n"/>
      <c r="Y245" s="215" t="n"/>
    </row>
    <row r="246" ht="15.75" customFormat="1" customHeight="1" s="215">
      <c r="A246" s="39" t="n"/>
      <c r="U246" s="215" t="n"/>
      <c r="V246" s="215" t="n"/>
      <c r="W246" s="215" t="n"/>
      <c r="X246" s="215" t="n"/>
      <c r="Y246" s="215" t="n"/>
    </row>
    <row r="247" ht="15.75" customFormat="1" customHeight="1" s="215">
      <c r="A247" s="39" t="n"/>
      <c r="U247" s="215" t="n"/>
      <c r="V247" s="215" t="n"/>
      <c r="W247" s="215" t="n"/>
      <c r="X247" s="215" t="n"/>
      <c r="Y247" s="215" t="n"/>
    </row>
    <row r="248" ht="15.75" customFormat="1" customHeight="1" s="215">
      <c r="A248" s="39" t="n"/>
      <c r="U248" s="215" t="n"/>
      <c r="V248" s="215" t="n"/>
      <c r="W248" s="215" t="n"/>
      <c r="X248" s="215" t="n"/>
      <c r="Y248" s="215" t="n"/>
    </row>
    <row r="249" ht="15.75" customFormat="1" customHeight="1" s="215">
      <c r="A249" s="39" t="n"/>
      <c r="U249" s="215" t="n"/>
      <c r="V249" s="215" t="n"/>
      <c r="W249" s="215" t="n"/>
      <c r="X249" s="215" t="n"/>
      <c r="Y249" s="215" t="n"/>
    </row>
    <row r="250" ht="15.75" customFormat="1" customHeight="1" s="215">
      <c r="A250" s="39" t="n"/>
      <c r="U250" s="215" t="n"/>
      <c r="V250" s="215" t="n"/>
      <c r="W250" s="215" t="n"/>
      <c r="X250" s="215" t="n"/>
      <c r="Y250" s="215" t="n"/>
    </row>
    <row r="251" ht="15.75" customFormat="1" customHeight="1" s="215">
      <c r="A251" s="39" t="n"/>
      <c r="U251" s="215" t="n"/>
      <c r="V251" s="215" t="n"/>
      <c r="W251" s="215" t="n"/>
      <c r="X251" s="215" t="n"/>
      <c r="Y251" s="215" t="n"/>
    </row>
    <row r="252" ht="15.75" customFormat="1" customHeight="1" s="215">
      <c r="A252" s="39" t="n"/>
      <c r="U252" s="215" t="n"/>
      <c r="V252" s="215" t="n"/>
      <c r="W252" s="215" t="n"/>
      <c r="X252" s="215" t="n"/>
      <c r="Y252" s="215" t="n"/>
    </row>
    <row r="253" ht="15.75" customFormat="1" customHeight="1" s="215">
      <c r="A253" s="39" t="n"/>
      <c r="U253" s="215" t="n"/>
      <c r="V253" s="215" t="n"/>
      <c r="W253" s="215" t="n"/>
      <c r="X253" s="215" t="n"/>
      <c r="Y253" s="215" t="n"/>
    </row>
    <row r="254" ht="15.75" customFormat="1" customHeight="1" s="215">
      <c r="A254" s="39" t="n"/>
      <c r="U254" s="215" t="n"/>
      <c r="V254" s="215" t="n"/>
      <c r="W254" s="215" t="n"/>
      <c r="X254" s="215" t="n"/>
      <c r="Y254" s="215" t="n"/>
    </row>
    <row r="255" ht="15.75" customFormat="1" customHeight="1" s="215">
      <c r="A255" s="39" t="n"/>
      <c r="U255" s="215" t="n"/>
      <c r="V255" s="215" t="n"/>
      <c r="W255" s="215" t="n"/>
      <c r="X255" s="215" t="n"/>
      <c r="Y255" s="215" t="n"/>
    </row>
    <row r="256" ht="15.75" customFormat="1" customHeight="1" s="215">
      <c r="A256" s="39" t="n"/>
      <c r="U256" s="215" t="n"/>
      <c r="V256" s="215" t="n"/>
      <c r="W256" s="215" t="n"/>
      <c r="X256" s="215" t="n"/>
      <c r="Y256" s="215" t="n"/>
    </row>
    <row r="257" ht="15.75" customFormat="1" customHeight="1" s="215">
      <c r="A257" s="39" t="n"/>
      <c r="U257" s="215" t="n"/>
      <c r="V257" s="215" t="n"/>
      <c r="W257" s="215" t="n"/>
      <c r="X257" s="215" t="n"/>
      <c r="Y257" s="215" t="n"/>
    </row>
    <row r="258" ht="15.75" customFormat="1" customHeight="1" s="215">
      <c r="A258" s="39" t="n"/>
      <c r="U258" s="215" t="n"/>
      <c r="V258" s="215" t="n"/>
      <c r="W258" s="215" t="n"/>
      <c r="X258" s="215" t="n"/>
      <c r="Y258" s="215" t="n"/>
    </row>
    <row r="259" ht="15.75" customFormat="1" customHeight="1" s="215">
      <c r="A259" s="39" t="n"/>
      <c r="U259" s="215" t="n"/>
      <c r="V259" s="215" t="n"/>
      <c r="W259" s="215" t="n"/>
      <c r="X259" s="215" t="n"/>
      <c r="Y259" s="215" t="n"/>
    </row>
    <row r="260" ht="15.75" customFormat="1" customHeight="1" s="215">
      <c r="A260" s="39" t="n"/>
      <c r="U260" s="215" t="n"/>
      <c r="V260" s="215" t="n"/>
      <c r="W260" s="215" t="n"/>
      <c r="X260" s="215" t="n"/>
      <c r="Y260" s="215" t="n"/>
    </row>
    <row r="261" ht="15.75" customFormat="1" customHeight="1" s="215">
      <c r="A261" s="39" t="n"/>
      <c r="U261" s="215" t="n"/>
      <c r="V261" s="215" t="n"/>
      <c r="W261" s="215" t="n"/>
      <c r="X261" s="215" t="n"/>
      <c r="Y261" s="215" t="n"/>
    </row>
    <row r="262" ht="15.75" customFormat="1" customHeight="1" s="215">
      <c r="A262" s="39" t="n"/>
      <c r="U262" s="215" t="n"/>
      <c r="V262" s="215" t="n"/>
      <c r="W262" s="215" t="n"/>
      <c r="X262" s="215" t="n"/>
      <c r="Y262" s="215" t="n"/>
    </row>
    <row r="263" ht="15.75" customFormat="1" customHeight="1" s="215">
      <c r="A263" s="39" t="n"/>
      <c r="U263" s="215" t="n"/>
      <c r="V263" s="215" t="n"/>
      <c r="W263" s="215" t="n"/>
      <c r="X263" s="215" t="n"/>
      <c r="Y263" s="215" t="n"/>
    </row>
    <row r="264" ht="15.75" customFormat="1" customHeight="1" s="215">
      <c r="A264" s="39" t="n"/>
      <c r="U264" s="215" t="n"/>
      <c r="V264" s="215" t="n"/>
      <c r="W264" s="215" t="n"/>
      <c r="X264" s="215" t="n"/>
      <c r="Y264" s="215" t="n"/>
    </row>
    <row r="265" ht="15.75" customFormat="1" customHeight="1" s="215">
      <c r="A265" s="39" t="n"/>
      <c r="U265" s="215" t="n"/>
      <c r="V265" s="215" t="n"/>
      <c r="W265" s="215" t="n"/>
      <c r="X265" s="215" t="n"/>
      <c r="Y265" s="215" t="n"/>
    </row>
    <row r="266" ht="15.75" customFormat="1" customHeight="1" s="215">
      <c r="A266" s="39" t="n"/>
      <c r="U266" s="215" t="n"/>
      <c r="V266" s="215" t="n"/>
      <c r="W266" s="215" t="n"/>
      <c r="X266" s="215" t="n"/>
      <c r="Y266" s="215" t="n"/>
    </row>
    <row r="267" ht="15.75" customFormat="1" customHeight="1" s="215">
      <c r="A267" s="39" t="n"/>
      <c r="U267" s="215" t="n"/>
      <c r="V267" s="215" t="n"/>
      <c r="W267" s="215" t="n"/>
      <c r="X267" s="215" t="n"/>
      <c r="Y267" s="215" t="n"/>
    </row>
    <row r="268" ht="15.75" customFormat="1" customHeight="1" s="215">
      <c r="A268" s="39" t="n"/>
      <c r="U268" s="215" t="n"/>
      <c r="V268" s="215" t="n"/>
      <c r="W268" s="215" t="n"/>
      <c r="X268" s="215" t="n"/>
      <c r="Y268" s="215" t="n"/>
    </row>
    <row r="269" ht="15.75" customFormat="1" customHeight="1" s="215">
      <c r="A269" s="39" t="n"/>
      <c r="U269" s="215" t="n"/>
      <c r="V269" s="215" t="n"/>
      <c r="W269" s="215" t="n"/>
      <c r="X269" s="215" t="n"/>
      <c r="Y269" s="215" t="n"/>
    </row>
    <row r="270" ht="15.75" customFormat="1" customHeight="1" s="215">
      <c r="A270" s="39" t="n"/>
      <c r="U270" s="215" t="n"/>
      <c r="V270" s="215" t="n"/>
      <c r="W270" s="215" t="n"/>
      <c r="X270" s="215" t="n"/>
      <c r="Y270" s="215" t="n"/>
    </row>
    <row r="271" ht="15.75" customFormat="1" customHeight="1" s="215">
      <c r="A271" s="39" t="n"/>
      <c r="U271" s="215" t="n"/>
      <c r="V271" s="215" t="n"/>
      <c r="W271" s="215" t="n"/>
      <c r="X271" s="215" t="n"/>
      <c r="Y271" s="215" t="n"/>
    </row>
    <row r="272" ht="15.75" customFormat="1" customHeight="1" s="215">
      <c r="A272" s="39" t="n"/>
      <c r="U272" s="215" t="n"/>
      <c r="V272" s="215" t="n"/>
      <c r="W272" s="215" t="n"/>
      <c r="X272" s="215" t="n"/>
      <c r="Y272" s="215" t="n"/>
    </row>
    <row r="273" ht="15.75" customFormat="1" customHeight="1" s="215">
      <c r="A273" s="39" t="n"/>
      <c r="U273" s="215" t="n"/>
      <c r="V273" s="215" t="n"/>
      <c r="W273" s="215" t="n"/>
      <c r="X273" s="215" t="n"/>
      <c r="Y273" s="215" t="n"/>
    </row>
    <row r="274" ht="15.75" customFormat="1" customHeight="1" s="215">
      <c r="A274" s="39" t="n"/>
      <c r="U274" s="215" t="n"/>
      <c r="V274" s="215" t="n"/>
      <c r="W274" s="215" t="n"/>
      <c r="X274" s="215" t="n"/>
      <c r="Y274" s="215" t="n"/>
    </row>
    <row r="275" ht="15.75" customFormat="1" customHeight="1" s="215">
      <c r="A275" s="39" t="n"/>
      <c r="U275" s="215" t="n"/>
      <c r="V275" s="215" t="n"/>
      <c r="W275" s="215" t="n"/>
      <c r="X275" s="215" t="n"/>
      <c r="Y275" s="215" t="n"/>
    </row>
    <row r="276" ht="15.75" customFormat="1" customHeight="1" s="215">
      <c r="A276" s="39" t="n"/>
      <c r="U276" s="215" t="n"/>
      <c r="V276" s="215" t="n"/>
      <c r="W276" s="215" t="n"/>
      <c r="X276" s="215" t="n"/>
      <c r="Y276" s="215" t="n"/>
    </row>
    <row r="277" ht="15.75" customFormat="1" customHeight="1" s="215">
      <c r="A277" s="39" t="n"/>
      <c r="U277" s="215" t="n"/>
      <c r="V277" s="215" t="n"/>
      <c r="W277" s="215" t="n"/>
      <c r="X277" s="215" t="n"/>
      <c r="Y277" s="215" t="n"/>
    </row>
    <row r="278" ht="15.75" customFormat="1" customHeight="1" s="215">
      <c r="A278" s="39" t="n"/>
      <c r="U278" s="215" t="n"/>
      <c r="V278" s="215" t="n"/>
      <c r="W278" s="215" t="n"/>
      <c r="X278" s="215" t="n"/>
      <c r="Y278" s="215" t="n"/>
    </row>
    <row r="279" ht="15.75" customFormat="1" customHeight="1" s="215">
      <c r="A279" s="39" t="n"/>
      <c r="U279" s="215" t="n"/>
      <c r="V279" s="215" t="n"/>
      <c r="W279" s="215" t="n"/>
      <c r="X279" s="215" t="n"/>
      <c r="Y279" s="215" t="n"/>
    </row>
    <row r="280" ht="15.75" customFormat="1" customHeight="1" s="215">
      <c r="A280" s="39" t="n"/>
      <c r="U280" s="215" t="n"/>
      <c r="V280" s="215" t="n"/>
      <c r="W280" s="215" t="n"/>
      <c r="X280" s="215" t="n"/>
      <c r="Y280" s="215" t="n"/>
    </row>
    <row r="281" ht="15.75" customFormat="1" customHeight="1" s="215">
      <c r="A281" s="39" t="n"/>
      <c r="U281" s="215" t="n"/>
      <c r="V281" s="215" t="n"/>
      <c r="W281" s="215" t="n"/>
      <c r="X281" s="215" t="n"/>
      <c r="Y281" s="215" t="n"/>
    </row>
    <row r="282" ht="15.75" customFormat="1" customHeight="1" s="215">
      <c r="A282" s="39" t="n"/>
      <c r="U282" s="215" t="n"/>
      <c r="V282" s="215" t="n"/>
      <c r="W282" s="215" t="n"/>
      <c r="X282" s="215" t="n"/>
      <c r="Y282" s="215" t="n"/>
    </row>
    <row r="283" ht="15.75" customFormat="1" customHeight="1" s="215">
      <c r="A283" s="39" t="n"/>
      <c r="U283" s="215" t="n"/>
      <c r="V283" s="215" t="n"/>
      <c r="W283" s="215" t="n"/>
      <c r="X283" s="215" t="n"/>
      <c r="Y283" s="215" t="n"/>
    </row>
    <row r="284" ht="15.75" customFormat="1" customHeight="1" s="215">
      <c r="A284" s="39" t="n"/>
      <c r="U284" s="215" t="n"/>
      <c r="V284" s="215" t="n"/>
      <c r="W284" s="215" t="n"/>
      <c r="X284" s="215" t="n"/>
      <c r="Y284" s="215" t="n"/>
    </row>
    <row r="285" ht="15.75" customFormat="1" customHeight="1" s="215">
      <c r="A285" s="39" t="n"/>
      <c r="U285" s="215" t="n"/>
      <c r="V285" s="215" t="n"/>
      <c r="W285" s="215" t="n"/>
      <c r="X285" s="215" t="n"/>
      <c r="Y285" s="215" t="n"/>
    </row>
    <row r="286" ht="15.75" customFormat="1" customHeight="1" s="215">
      <c r="A286" s="39" t="n"/>
      <c r="U286" s="215" t="n"/>
      <c r="V286" s="215" t="n"/>
      <c r="W286" s="215" t="n"/>
      <c r="X286" s="215" t="n"/>
      <c r="Y286" s="215" t="n"/>
    </row>
    <row r="287" ht="15.75" customFormat="1" customHeight="1" s="215">
      <c r="A287" s="39" t="n"/>
      <c r="U287" s="215" t="n"/>
      <c r="V287" s="215" t="n"/>
      <c r="W287" s="215" t="n"/>
      <c r="X287" s="215" t="n"/>
      <c r="Y287" s="215" t="n"/>
    </row>
    <row r="288" ht="15.75" customFormat="1" customHeight="1" s="215">
      <c r="A288" s="39" t="n"/>
      <c r="U288" s="215" t="n"/>
      <c r="V288" s="215" t="n"/>
      <c r="W288" s="215" t="n"/>
      <c r="X288" s="215" t="n"/>
      <c r="Y288" s="215" t="n"/>
    </row>
    <row r="289" ht="15.75" customFormat="1" customHeight="1" s="215">
      <c r="A289" s="39" t="n"/>
      <c r="U289" s="215" t="n"/>
      <c r="V289" s="215" t="n"/>
      <c r="W289" s="215" t="n"/>
      <c r="X289" s="215" t="n"/>
      <c r="Y289" s="215" t="n"/>
    </row>
    <row r="290" ht="15.75" customFormat="1" customHeight="1" s="215">
      <c r="A290" s="39" t="n"/>
      <c r="U290" s="215" t="n"/>
      <c r="V290" s="215" t="n"/>
      <c r="W290" s="215" t="n"/>
      <c r="X290" s="215" t="n"/>
      <c r="Y290" s="215" t="n"/>
    </row>
    <row r="291" ht="15.75" customFormat="1" customHeight="1" s="215">
      <c r="A291" s="39" t="n"/>
      <c r="U291" s="215" t="n"/>
      <c r="V291" s="215" t="n"/>
      <c r="W291" s="215" t="n"/>
      <c r="X291" s="215" t="n"/>
      <c r="Y291" s="215" t="n"/>
    </row>
    <row r="292" ht="15.75" customFormat="1" customHeight="1" s="215">
      <c r="A292" s="39" t="n"/>
      <c r="U292" s="215" t="n"/>
      <c r="V292" s="215" t="n"/>
      <c r="W292" s="215" t="n"/>
      <c r="X292" s="215" t="n"/>
      <c r="Y292" s="215" t="n"/>
    </row>
    <row r="293" ht="15.75" customFormat="1" customHeight="1" s="215">
      <c r="A293" s="39" t="n"/>
      <c r="U293" s="215" t="n"/>
      <c r="V293" s="215" t="n"/>
      <c r="W293" s="215" t="n"/>
      <c r="X293" s="215" t="n"/>
      <c r="Y293" s="215" t="n"/>
    </row>
    <row r="294" ht="15.75" customFormat="1" customHeight="1" s="215">
      <c r="A294" s="39" t="n"/>
      <c r="U294" s="215" t="n"/>
      <c r="V294" s="215" t="n"/>
      <c r="W294" s="215" t="n"/>
      <c r="X294" s="215" t="n"/>
      <c r="Y294" s="215" t="n"/>
    </row>
    <row r="295" ht="15.75" customFormat="1" customHeight="1" s="215">
      <c r="A295" s="39" t="n"/>
      <c r="U295" s="215" t="n"/>
      <c r="V295" s="215" t="n"/>
      <c r="W295" s="215" t="n"/>
      <c r="X295" s="215" t="n"/>
      <c r="Y295" s="215" t="n"/>
    </row>
    <row r="296" ht="15.75" customFormat="1" customHeight="1" s="215">
      <c r="A296" s="39" t="n"/>
      <c r="U296" s="215" t="n"/>
      <c r="V296" s="215" t="n"/>
      <c r="W296" s="215" t="n"/>
      <c r="X296" s="215" t="n"/>
      <c r="Y296" s="215" t="n"/>
    </row>
    <row r="297" ht="15.75" customFormat="1" customHeight="1" s="215">
      <c r="A297" s="39" t="n"/>
      <c r="U297" s="215" t="n"/>
      <c r="V297" s="215" t="n"/>
      <c r="W297" s="215" t="n"/>
      <c r="X297" s="215" t="n"/>
      <c r="Y297" s="215" t="n"/>
    </row>
    <row r="298" ht="15.75" customFormat="1" customHeight="1" s="215">
      <c r="A298" s="39" t="n"/>
      <c r="U298" s="215" t="n"/>
      <c r="V298" s="215" t="n"/>
      <c r="W298" s="215" t="n"/>
      <c r="X298" s="215" t="n"/>
      <c r="Y298" s="215" t="n"/>
    </row>
    <row r="299" ht="15.75" customFormat="1" customHeight="1" s="215">
      <c r="A299" s="39" t="n"/>
      <c r="U299" s="215" t="n"/>
      <c r="V299" s="215" t="n"/>
      <c r="W299" s="215" t="n"/>
      <c r="X299" s="215" t="n"/>
      <c r="Y299" s="215" t="n"/>
    </row>
    <row r="300" ht="15.75" customFormat="1" customHeight="1" s="215">
      <c r="A300" s="39" t="n"/>
      <c r="U300" s="215" t="n"/>
      <c r="V300" s="215" t="n"/>
      <c r="W300" s="215" t="n"/>
      <c r="X300" s="215" t="n"/>
      <c r="Y300" s="215" t="n"/>
    </row>
    <row r="301" ht="15.75" customFormat="1" customHeight="1" s="215">
      <c r="A301" s="39" t="n"/>
      <c r="U301" s="215" t="n"/>
      <c r="V301" s="215" t="n"/>
      <c r="W301" s="215" t="n"/>
      <c r="X301" s="215" t="n"/>
      <c r="Y301" s="215" t="n"/>
    </row>
    <row r="302" ht="15.75" customFormat="1" customHeight="1" s="215">
      <c r="A302" s="39" t="n"/>
      <c r="U302" s="215" t="n"/>
      <c r="V302" s="215" t="n"/>
      <c r="W302" s="215" t="n"/>
      <c r="X302" s="215" t="n"/>
      <c r="Y302" s="215" t="n"/>
    </row>
    <row r="303" ht="15.75" customFormat="1" customHeight="1" s="215">
      <c r="A303" s="39" t="n"/>
      <c r="U303" s="215" t="n"/>
      <c r="V303" s="215" t="n"/>
      <c r="W303" s="215" t="n"/>
      <c r="X303" s="215" t="n"/>
      <c r="Y303" s="215" t="n"/>
    </row>
    <row r="304" ht="15.75" customFormat="1" customHeight="1" s="215">
      <c r="A304" s="39" t="n"/>
      <c r="U304" s="215" t="n"/>
      <c r="V304" s="215" t="n"/>
      <c r="W304" s="215" t="n"/>
      <c r="X304" s="215" t="n"/>
      <c r="Y304" s="215" t="n"/>
    </row>
    <row r="305" ht="15.75" customFormat="1" customHeight="1" s="215">
      <c r="A305" s="39" t="n"/>
      <c r="U305" s="215" t="n"/>
      <c r="V305" s="215" t="n"/>
      <c r="W305" s="215" t="n"/>
      <c r="X305" s="215" t="n"/>
      <c r="Y305" s="215" t="n"/>
    </row>
    <row r="306" ht="15.75" customFormat="1" customHeight="1" s="215">
      <c r="A306" s="39" t="n"/>
      <c r="U306" s="215" t="n"/>
      <c r="V306" s="215" t="n"/>
      <c r="W306" s="215" t="n"/>
      <c r="X306" s="215" t="n"/>
      <c r="Y306" s="215" t="n"/>
    </row>
    <row r="307" ht="15.75" customFormat="1" customHeight="1" s="215">
      <c r="A307" s="39" t="n"/>
      <c r="U307" s="215" t="n"/>
      <c r="V307" s="215" t="n"/>
      <c r="W307" s="215" t="n"/>
      <c r="X307" s="215" t="n"/>
      <c r="Y307" s="215" t="n"/>
    </row>
    <row r="308" ht="15.75" customFormat="1" customHeight="1" s="215">
      <c r="A308" s="39" t="n"/>
      <c r="U308" s="215" t="n"/>
      <c r="V308" s="215" t="n"/>
      <c r="W308" s="215" t="n"/>
      <c r="X308" s="215" t="n"/>
      <c r="Y308" s="215" t="n"/>
    </row>
    <row r="309" ht="15.75" customFormat="1" customHeight="1" s="215">
      <c r="A309" s="39" t="n"/>
      <c r="U309" s="215" t="n"/>
      <c r="V309" s="215" t="n"/>
      <c r="W309" s="215" t="n"/>
      <c r="X309" s="215" t="n"/>
      <c r="Y309" s="215" t="n"/>
    </row>
    <row r="310" ht="15.75" customFormat="1" customHeight="1" s="215">
      <c r="A310" s="39" t="n"/>
      <c r="U310" s="215" t="n"/>
      <c r="V310" s="215" t="n"/>
      <c r="W310" s="215" t="n"/>
      <c r="X310" s="215" t="n"/>
      <c r="Y310" s="215" t="n"/>
    </row>
    <row r="311" ht="15.75" customFormat="1" customHeight="1" s="215">
      <c r="A311" s="39" t="n"/>
      <c r="U311" s="215" t="n"/>
      <c r="V311" s="215" t="n"/>
      <c r="W311" s="215" t="n"/>
      <c r="X311" s="215" t="n"/>
      <c r="Y311" s="215" t="n"/>
    </row>
    <row r="312" ht="15.75" customFormat="1" customHeight="1" s="215">
      <c r="A312" s="39" t="n"/>
      <c r="U312" s="215" t="n"/>
      <c r="V312" s="215" t="n"/>
      <c r="W312" s="215" t="n"/>
      <c r="X312" s="215" t="n"/>
      <c r="Y312" s="215" t="n"/>
    </row>
    <row r="313" ht="15.75" customFormat="1" customHeight="1" s="215">
      <c r="A313" s="39" t="n"/>
      <c r="U313" s="215" t="n"/>
      <c r="V313" s="215" t="n"/>
      <c r="W313" s="215" t="n"/>
      <c r="X313" s="215" t="n"/>
      <c r="Y313" s="215" t="n"/>
    </row>
    <row r="314" ht="15.75" customFormat="1" customHeight="1" s="215">
      <c r="A314" s="39" t="n"/>
      <c r="U314" s="215" t="n"/>
      <c r="V314" s="215" t="n"/>
      <c r="W314" s="215" t="n"/>
      <c r="X314" s="215" t="n"/>
      <c r="Y314" s="215" t="n"/>
    </row>
    <row r="315" ht="15.75" customFormat="1" customHeight="1" s="215">
      <c r="A315" s="39" t="n"/>
      <c r="U315" s="215" t="n"/>
      <c r="V315" s="215" t="n"/>
      <c r="W315" s="215" t="n"/>
      <c r="X315" s="215" t="n"/>
      <c r="Y315" s="215" t="n"/>
    </row>
    <row r="316" ht="15.75" customFormat="1" customHeight="1" s="215">
      <c r="A316" s="39" t="n"/>
      <c r="U316" s="215" t="n"/>
      <c r="V316" s="215" t="n"/>
      <c r="W316" s="215" t="n"/>
      <c r="X316" s="215" t="n"/>
      <c r="Y316" s="215" t="n"/>
    </row>
    <row r="317" ht="15.75" customFormat="1" customHeight="1" s="215">
      <c r="A317" s="39" t="n"/>
      <c r="U317" s="215" t="n"/>
      <c r="V317" s="215" t="n"/>
      <c r="W317" s="215" t="n"/>
      <c r="X317" s="215" t="n"/>
      <c r="Y317" s="215" t="n"/>
    </row>
    <row r="318" ht="15.75" customFormat="1" customHeight="1" s="215">
      <c r="A318" s="39" t="n"/>
      <c r="U318" s="215" t="n"/>
      <c r="V318" s="215" t="n"/>
      <c r="W318" s="215" t="n"/>
      <c r="X318" s="215" t="n"/>
      <c r="Y318" s="215" t="n"/>
    </row>
    <row r="319" ht="15.75" customFormat="1" customHeight="1" s="215">
      <c r="A319" s="39" t="n"/>
      <c r="U319" s="215" t="n"/>
      <c r="V319" s="215" t="n"/>
      <c r="W319" s="215" t="n"/>
      <c r="X319" s="215" t="n"/>
      <c r="Y319" s="215" t="n"/>
    </row>
    <row r="320" ht="15.75" customFormat="1" customHeight="1" s="215">
      <c r="A320" s="39" t="n"/>
      <c r="U320" s="215" t="n"/>
      <c r="V320" s="215" t="n"/>
      <c r="W320" s="215" t="n"/>
      <c r="X320" s="215" t="n"/>
      <c r="Y320" s="215" t="n"/>
    </row>
    <row r="321" ht="15.75" customFormat="1" customHeight="1" s="215">
      <c r="A321" s="39" t="n"/>
      <c r="U321" s="215" t="n"/>
      <c r="V321" s="215" t="n"/>
      <c r="W321" s="215" t="n"/>
      <c r="X321" s="215" t="n"/>
      <c r="Y321" s="215" t="n"/>
    </row>
    <row r="322" ht="15.75" customFormat="1" customHeight="1" s="215">
      <c r="A322" s="39" t="n"/>
      <c r="U322" s="215" t="n"/>
      <c r="V322" s="215" t="n"/>
      <c r="W322" s="215" t="n"/>
      <c r="X322" s="215" t="n"/>
      <c r="Y322" s="215" t="n"/>
    </row>
    <row r="323" ht="15.75" customFormat="1" customHeight="1" s="215">
      <c r="A323" s="39" t="n"/>
      <c r="U323" s="215" t="n"/>
      <c r="V323" s="215" t="n"/>
      <c r="W323" s="215" t="n"/>
      <c r="X323" s="215" t="n"/>
      <c r="Y323" s="215" t="n"/>
    </row>
    <row r="324" ht="15.75" customFormat="1" customHeight="1" s="215">
      <c r="A324" s="39" t="n"/>
      <c r="U324" s="215" t="n"/>
      <c r="V324" s="215" t="n"/>
      <c r="W324" s="215" t="n"/>
      <c r="X324" s="215" t="n"/>
      <c r="Y324" s="215" t="n"/>
    </row>
    <row r="325" ht="15.75" customFormat="1" customHeight="1" s="215">
      <c r="A325" s="39" t="n"/>
      <c r="U325" s="215" t="n"/>
      <c r="V325" s="215" t="n"/>
      <c r="W325" s="215" t="n"/>
      <c r="X325" s="215" t="n"/>
      <c r="Y325" s="215" t="n"/>
    </row>
    <row r="326" ht="15.75" customFormat="1" customHeight="1" s="215">
      <c r="A326" s="39" t="n"/>
      <c r="U326" s="215" t="n"/>
      <c r="V326" s="215" t="n"/>
      <c r="W326" s="215" t="n"/>
      <c r="X326" s="215" t="n"/>
      <c r="Y326" s="215" t="n"/>
    </row>
    <row r="327" ht="15.75" customFormat="1" customHeight="1" s="215">
      <c r="A327" s="39" t="n"/>
      <c r="U327" s="215" t="n"/>
      <c r="V327" s="215" t="n"/>
      <c r="W327" s="215" t="n"/>
      <c r="X327" s="215" t="n"/>
      <c r="Y327" s="215" t="n"/>
    </row>
    <row r="328" ht="15.75" customFormat="1" customHeight="1" s="215">
      <c r="A328" s="39" t="n"/>
      <c r="U328" s="215" t="n"/>
      <c r="V328" s="215" t="n"/>
      <c r="W328" s="215" t="n"/>
      <c r="X328" s="215" t="n"/>
      <c r="Y328" s="215" t="n"/>
    </row>
    <row r="329" ht="15.75" customFormat="1" customHeight="1" s="215">
      <c r="A329" s="39" t="n"/>
      <c r="U329" s="215" t="n"/>
      <c r="V329" s="215" t="n"/>
      <c r="W329" s="215" t="n"/>
      <c r="X329" s="215" t="n"/>
      <c r="Y329" s="215" t="n"/>
    </row>
    <row r="330" ht="15.75" customFormat="1" customHeight="1" s="215">
      <c r="A330" s="39" t="n"/>
      <c r="U330" s="215" t="n"/>
      <c r="V330" s="215" t="n"/>
      <c r="W330" s="215" t="n"/>
      <c r="X330" s="215" t="n"/>
      <c r="Y330" s="215" t="n"/>
    </row>
    <row r="331" ht="15.75" customFormat="1" customHeight="1" s="215">
      <c r="A331" s="39" t="n"/>
      <c r="U331" s="215" t="n"/>
      <c r="V331" s="215" t="n"/>
      <c r="W331" s="215" t="n"/>
      <c r="X331" s="215" t="n"/>
      <c r="Y331" s="215" t="n"/>
    </row>
    <row r="332" ht="15.75" customFormat="1" customHeight="1" s="215">
      <c r="A332" s="39" t="n"/>
      <c r="U332" s="215" t="n"/>
      <c r="V332" s="215" t="n"/>
      <c r="W332" s="215" t="n"/>
      <c r="X332" s="215" t="n"/>
      <c r="Y332" s="215" t="n"/>
    </row>
    <row r="333" ht="15.75" customFormat="1" customHeight="1" s="215">
      <c r="A333" s="39" t="n"/>
      <c r="U333" s="215" t="n"/>
      <c r="V333" s="215" t="n"/>
      <c r="W333" s="215" t="n"/>
      <c r="X333" s="215" t="n"/>
      <c r="Y333" s="215" t="n"/>
    </row>
    <row r="334" ht="15.75" customFormat="1" customHeight="1" s="215">
      <c r="A334" s="39" t="n"/>
      <c r="U334" s="215" t="n"/>
      <c r="V334" s="215" t="n"/>
      <c r="W334" s="215" t="n"/>
      <c r="X334" s="215" t="n"/>
      <c r="Y334" s="215" t="n"/>
    </row>
    <row r="335" ht="15.75" customFormat="1" customHeight="1" s="215">
      <c r="A335" s="39" t="n"/>
      <c r="U335" s="215" t="n"/>
      <c r="V335" s="215" t="n"/>
      <c r="W335" s="215" t="n"/>
      <c r="X335" s="215" t="n"/>
      <c r="Y335" s="215" t="n"/>
    </row>
    <row r="336" ht="15.75" customFormat="1" customHeight="1" s="215">
      <c r="A336" s="39" t="n"/>
      <c r="U336" s="215" t="n"/>
      <c r="V336" s="215" t="n"/>
      <c r="W336" s="215" t="n"/>
      <c r="X336" s="215" t="n"/>
      <c r="Y336" s="215" t="n"/>
    </row>
    <row r="337" ht="15.75" customFormat="1" customHeight="1" s="215">
      <c r="A337" s="39" t="n"/>
      <c r="U337" s="215" t="n"/>
      <c r="V337" s="215" t="n"/>
      <c r="W337" s="215" t="n"/>
      <c r="X337" s="215" t="n"/>
      <c r="Y337" s="215" t="n"/>
    </row>
    <row r="338" ht="15.75" customFormat="1" customHeight="1" s="215">
      <c r="A338" s="39" t="n"/>
      <c r="U338" s="215" t="n"/>
      <c r="V338" s="215" t="n"/>
      <c r="W338" s="215" t="n"/>
      <c r="X338" s="215" t="n"/>
      <c r="Y338" s="215" t="n"/>
    </row>
    <row r="339" ht="15.75" customFormat="1" customHeight="1" s="215">
      <c r="A339" s="39" t="n"/>
      <c r="U339" s="215" t="n"/>
      <c r="V339" s="215" t="n"/>
      <c r="W339" s="215" t="n"/>
      <c r="X339" s="215" t="n"/>
      <c r="Y339" s="215" t="n"/>
    </row>
    <row r="340" ht="15.75" customFormat="1" customHeight="1" s="215">
      <c r="A340" s="39" t="n"/>
      <c r="U340" s="215" t="n"/>
      <c r="V340" s="215" t="n"/>
      <c r="W340" s="215" t="n"/>
      <c r="X340" s="215" t="n"/>
      <c r="Y340" s="215" t="n"/>
    </row>
    <row r="341" ht="15.75" customFormat="1" customHeight="1" s="215">
      <c r="A341" s="39" t="n"/>
      <c r="U341" s="215" t="n"/>
      <c r="V341" s="215" t="n"/>
      <c r="W341" s="215" t="n"/>
      <c r="X341" s="215" t="n"/>
      <c r="Y341" s="215" t="n"/>
    </row>
    <row r="342" ht="15.75" customFormat="1" customHeight="1" s="215">
      <c r="A342" s="39" t="n"/>
      <c r="U342" s="215" t="n"/>
      <c r="V342" s="215" t="n"/>
      <c r="W342" s="215" t="n"/>
      <c r="X342" s="215" t="n"/>
      <c r="Y342" s="215" t="n"/>
    </row>
    <row r="343" ht="15.75" customFormat="1" customHeight="1" s="215">
      <c r="A343" s="39" t="n"/>
      <c r="U343" s="215" t="n"/>
      <c r="V343" s="215" t="n"/>
      <c r="W343" s="215" t="n"/>
      <c r="X343" s="215" t="n"/>
      <c r="Y343" s="215" t="n"/>
    </row>
    <row r="344" ht="15.75" customFormat="1" customHeight="1" s="215">
      <c r="A344" s="39" t="n"/>
      <c r="U344" s="215" t="n"/>
      <c r="V344" s="215" t="n"/>
      <c r="W344" s="215" t="n"/>
      <c r="X344" s="215" t="n"/>
      <c r="Y344" s="215" t="n"/>
    </row>
    <row r="345" ht="15.75" customFormat="1" customHeight="1" s="215">
      <c r="A345" s="39" t="n"/>
      <c r="U345" s="215" t="n"/>
      <c r="V345" s="215" t="n"/>
      <c r="W345" s="215" t="n"/>
      <c r="X345" s="215" t="n"/>
      <c r="Y345" s="215" t="n"/>
    </row>
    <row r="346" ht="15.75" customFormat="1" customHeight="1" s="215">
      <c r="A346" s="39" t="n"/>
      <c r="U346" s="215" t="n"/>
      <c r="V346" s="215" t="n"/>
      <c r="W346" s="215" t="n"/>
      <c r="X346" s="215" t="n"/>
      <c r="Y346" s="215" t="n"/>
    </row>
    <row r="347" ht="15.75" customFormat="1" customHeight="1" s="215">
      <c r="A347" s="39" t="n"/>
      <c r="U347" s="215" t="n"/>
      <c r="V347" s="215" t="n"/>
      <c r="W347" s="215" t="n"/>
      <c r="X347" s="215" t="n"/>
      <c r="Y347" s="215" t="n"/>
    </row>
    <row r="348" ht="15.75" customFormat="1" customHeight="1" s="215">
      <c r="A348" s="39" t="n"/>
      <c r="U348" s="215" t="n"/>
      <c r="V348" s="215" t="n"/>
      <c r="W348" s="215" t="n"/>
      <c r="X348" s="215" t="n"/>
      <c r="Y348" s="215" t="n"/>
    </row>
    <row r="349" ht="15.75" customFormat="1" customHeight="1" s="215">
      <c r="A349" s="39" t="n"/>
      <c r="U349" s="215" t="n"/>
      <c r="V349" s="215" t="n"/>
      <c r="W349" s="215" t="n"/>
      <c r="X349" s="215" t="n"/>
      <c r="Y349" s="215" t="n"/>
    </row>
    <row r="350" ht="15.75" customFormat="1" customHeight="1" s="215">
      <c r="A350" s="39" t="n"/>
      <c r="U350" s="215" t="n"/>
      <c r="V350" s="215" t="n"/>
      <c r="W350" s="215" t="n"/>
      <c r="X350" s="215" t="n"/>
      <c r="Y350" s="215" t="n"/>
    </row>
    <row r="351" ht="15.75" customFormat="1" customHeight="1" s="215">
      <c r="A351" s="39" t="n"/>
      <c r="U351" s="215" t="n"/>
      <c r="V351" s="215" t="n"/>
      <c r="W351" s="215" t="n"/>
      <c r="X351" s="215" t="n"/>
      <c r="Y351" s="215" t="n"/>
    </row>
    <row r="352" ht="15.75" customFormat="1" customHeight="1" s="215">
      <c r="A352" s="39" t="n"/>
      <c r="U352" s="215" t="n"/>
      <c r="V352" s="215" t="n"/>
      <c r="W352" s="215" t="n"/>
      <c r="X352" s="215" t="n"/>
      <c r="Y352" s="215" t="n"/>
    </row>
    <row r="353" ht="15.75" customFormat="1" customHeight="1" s="215">
      <c r="A353" s="39" t="n"/>
      <c r="U353" s="215" t="n"/>
      <c r="V353" s="215" t="n"/>
      <c r="W353" s="215" t="n"/>
      <c r="X353" s="215" t="n"/>
      <c r="Y353" s="215" t="n"/>
    </row>
    <row r="354" ht="15.75" customFormat="1" customHeight="1" s="215">
      <c r="A354" s="39" t="n"/>
      <c r="U354" s="215" t="n"/>
      <c r="V354" s="215" t="n"/>
      <c r="W354" s="215" t="n"/>
      <c r="X354" s="215" t="n"/>
      <c r="Y354" s="215" t="n"/>
    </row>
    <row r="355" ht="15.75" customFormat="1" customHeight="1" s="215">
      <c r="A355" s="39" t="n"/>
      <c r="U355" s="215" t="n"/>
      <c r="V355" s="215" t="n"/>
      <c r="W355" s="215" t="n"/>
      <c r="X355" s="215" t="n"/>
      <c r="Y355" s="215" t="n"/>
    </row>
    <row r="356" ht="15.75" customFormat="1" customHeight="1" s="215">
      <c r="A356" s="39" t="n"/>
      <c r="U356" s="215" t="n"/>
      <c r="V356" s="215" t="n"/>
      <c r="W356" s="215" t="n"/>
      <c r="X356" s="215" t="n"/>
      <c r="Y356" s="215" t="n"/>
    </row>
    <row r="357" ht="15.75" customFormat="1" customHeight="1" s="215">
      <c r="A357" s="39" t="n"/>
      <c r="U357" s="215" t="n"/>
      <c r="V357" s="215" t="n"/>
      <c r="W357" s="215" t="n"/>
      <c r="X357" s="215" t="n"/>
      <c r="Y357" s="215" t="n"/>
    </row>
    <row r="358" ht="15.75" customFormat="1" customHeight="1" s="215">
      <c r="A358" s="39" t="n"/>
      <c r="U358" s="215" t="n"/>
      <c r="V358" s="215" t="n"/>
      <c r="W358" s="215" t="n"/>
      <c r="X358" s="215" t="n"/>
      <c r="Y358" s="215" t="n"/>
    </row>
    <row r="359" ht="15.75" customFormat="1" customHeight="1" s="215">
      <c r="A359" s="39" t="n"/>
      <c r="U359" s="215" t="n"/>
      <c r="V359" s="215" t="n"/>
      <c r="W359" s="215" t="n"/>
      <c r="X359" s="215" t="n"/>
      <c r="Y359" s="215" t="n"/>
    </row>
    <row r="360" ht="15.75" customFormat="1" customHeight="1" s="215">
      <c r="A360" s="39" t="n"/>
      <c r="U360" s="215" t="n"/>
      <c r="V360" s="215" t="n"/>
      <c r="W360" s="215" t="n"/>
      <c r="X360" s="215" t="n"/>
      <c r="Y360" s="215" t="n"/>
    </row>
    <row r="361" ht="15.75" customFormat="1" customHeight="1" s="215">
      <c r="A361" s="39" t="n"/>
      <c r="U361" s="215" t="n"/>
      <c r="V361" s="215" t="n"/>
      <c r="W361" s="215" t="n"/>
      <c r="X361" s="215" t="n"/>
      <c r="Y361" s="215" t="n"/>
    </row>
    <row r="362" ht="15.75" customFormat="1" customHeight="1" s="215">
      <c r="A362" s="39" t="n"/>
      <c r="U362" s="215" t="n"/>
      <c r="V362" s="215" t="n"/>
      <c r="W362" s="215" t="n"/>
      <c r="X362" s="215" t="n"/>
      <c r="Y362" s="215" t="n"/>
    </row>
    <row r="363" ht="15.75" customFormat="1" customHeight="1" s="215">
      <c r="A363" s="39" t="n"/>
      <c r="U363" s="215" t="n"/>
      <c r="V363" s="215" t="n"/>
      <c r="W363" s="215" t="n"/>
      <c r="X363" s="215" t="n"/>
      <c r="Y363" s="215" t="n"/>
    </row>
    <row r="364" ht="15.75" customFormat="1" customHeight="1" s="215">
      <c r="A364" s="39" t="n"/>
      <c r="U364" s="215" t="n"/>
      <c r="V364" s="215" t="n"/>
      <c r="W364" s="215" t="n"/>
      <c r="X364" s="215" t="n"/>
      <c r="Y364" s="215" t="n"/>
    </row>
    <row r="365" ht="15.75" customFormat="1" customHeight="1" s="215">
      <c r="A365" s="39" t="n"/>
      <c r="U365" s="215" t="n"/>
      <c r="V365" s="215" t="n"/>
      <c r="W365" s="215" t="n"/>
      <c r="X365" s="215" t="n"/>
      <c r="Y365" s="215" t="n"/>
    </row>
    <row r="366" ht="15.75" customFormat="1" customHeight="1" s="215">
      <c r="A366" s="39" t="n"/>
      <c r="U366" s="215" t="n"/>
      <c r="V366" s="215" t="n"/>
      <c r="W366" s="215" t="n"/>
      <c r="X366" s="215" t="n"/>
      <c r="Y366" s="215" t="n"/>
    </row>
    <row r="367" ht="15.75" customFormat="1" customHeight="1" s="215">
      <c r="A367" s="39" t="n"/>
      <c r="U367" s="215" t="n"/>
      <c r="V367" s="215" t="n"/>
      <c r="W367" s="215" t="n"/>
      <c r="X367" s="215" t="n"/>
      <c r="Y367" s="215" t="n"/>
    </row>
    <row r="368" ht="15.75" customFormat="1" customHeight="1" s="215">
      <c r="A368" s="39" t="n"/>
      <c r="U368" s="215" t="n"/>
      <c r="V368" s="215" t="n"/>
      <c r="W368" s="215" t="n"/>
      <c r="X368" s="215" t="n"/>
      <c r="Y368" s="215" t="n"/>
    </row>
    <row r="369" ht="15.75" customFormat="1" customHeight="1" s="215">
      <c r="A369" s="39" t="n"/>
      <c r="U369" s="215" t="n"/>
      <c r="V369" s="215" t="n"/>
      <c r="W369" s="215" t="n"/>
      <c r="X369" s="215" t="n"/>
      <c r="Y369" s="215" t="n"/>
    </row>
    <row r="370" ht="15.75" customFormat="1" customHeight="1" s="215">
      <c r="A370" s="39" t="n"/>
      <c r="U370" s="215" t="n"/>
      <c r="V370" s="215" t="n"/>
      <c r="W370" s="215" t="n"/>
      <c r="X370" s="215" t="n"/>
      <c r="Y370" s="215" t="n"/>
    </row>
    <row r="371" ht="15.75" customFormat="1" customHeight="1" s="215">
      <c r="A371" s="39" t="n"/>
      <c r="U371" s="215" t="n"/>
      <c r="V371" s="215" t="n"/>
      <c r="W371" s="215" t="n"/>
      <c r="X371" s="215" t="n"/>
      <c r="Y371" s="215" t="n"/>
    </row>
    <row r="372" ht="15.75" customFormat="1" customHeight="1" s="215">
      <c r="A372" s="39" t="n"/>
      <c r="U372" s="215" t="n"/>
      <c r="V372" s="215" t="n"/>
      <c r="W372" s="215" t="n"/>
      <c r="X372" s="215" t="n"/>
      <c r="Y372" s="215" t="n"/>
    </row>
    <row r="373" ht="15.75" customFormat="1" customHeight="1" s="215">
      <c r="A373" s="39" t="n"/>
      <c r="U373" s="215" t="n"/>
      <c r="V373" s="215" t="n"/>
      <c r="W373" s="215" t="n"/>
      <c r="X373" s="215" t="n"/>
      <c r="Y373" s="215" t="n"/>
    </row>
    <row r="374" ht="15.75" customFormat="1" customHeight="1" s="215">
      <c r="A374" s="39" t="n"/>
      <c r="U374" s="215" t="n"/>
      <c r="V374" s="215" t="n"/>
      <c r="W374" s="215" t="n"/>
      <c r="X374" s="215" t="n"/>
      <c r="Y374" s="215" t="n"/>
    </row>
    <row r="375" ht="15.75" customFormat="1" customHeight="1" s="215">
      <c r="A375" s="39" t="n"/>
      <c r="U375" s="215" t="n"/>
      <c r="V375" s="215" t="n"/>
      <c r="W375" s="215" t="n"/>
      <c r="X375" s="215" t="n"/>
      <c r="Y375" s="215" t="n"/>
    </row>
    <row r="376" ht="15.75" customFormat="1" customHeight="1" s="215">
      <c r="A376" s="39" t="n"/>
      <c r="U376" s="215" t="n"/>
      <c r="V376" s="215" t="n"/>
      <c r="W376" s="215" t="n"/>
      <c r="X376" s="215" t="n"/>
      <c r="Y376" s="215" t="n"/>
    </row>
    <row r="377" ht="15.75" customFormat="1" customHeight="1" s="215">
      <c r="A377" s="39" t="n"/>
      <c r="U377" s="215" t="n"/>
      <c r="V377" s="215" t="n"/>
      <c r="W377" s="215" t="n"/>
      <c r="X377" s="215" t="n"/>
      <c r="Y377" s="215" t="n"/>
    </row>
    <row r="378" ht="15.75" customFormat="1" customHeight="1" s="215">
      <c r="A378" s="39" t="n"/>
      <c r="U378" s="215" t="n"/>
      <c r="V378" s="215" t="n"/>
      <c r="W378" s="215" t="n"/>
      <c r="X378" s="215" t="n"/>
      <c r="Y378" s="215" t="n"/>
    </row>
    <row r="379" ht="15.75" customFormat="1" customHeight="1" s="215">
      <c r="A379" s="39" t="n"/>
      <c r="U379" s="215" t="n"/>
      <c r="V379" s="215" t="n"/>
      <c r="W379" s="215" t="n"/>
      <c r="X379" s="215" t="n"/>
      <c r="Y379" s="215" t="n"/>
    </row>
    <row r="380" ht="15.75" customFormat="1" customHeight="1" s="215">
      <c r="A380" s="39" t="n"/>
      <c r="U380" s="215" t="n"/>
      <c r="V380" s="215" t="n"/>
      <c r="W380" s="215" t="n"/>
      <c r="X380" s="215" t="n"/>
      <c r="Y380" s="215" t="n"/>
    </row>
    <row r="381" ht="15.75" customFormat="1" customHeight="1" s="215">
      <c r="A381" s="39" t="n"/>
      <c r="U381" s="215" t="n"/>
      <c r="V381" s="215" t="n"/>
      <c r="W381" s="215" t="n"/>
      <c r="X381" s="215" t="n"/>
      <c r="Y381" s="215" t="n"/>
    </row>
    <row r="382" ht="15.75" customFormat="1" customHeight="1" s="215">
      <c r="A382" s="39" t="n"/>
      <c r="U382" s="215" t="n"/>
      <c r="V382" s="215" t="n"/>
      <c r="W382" s="215" t="n"/>
      <c r="X382" s="215" t="n"/>
      <c r="Y382" s="215" t="n"/>
    </row>
    <row r="383" ht="15.75" customFormat="1" customHeight="1" s="215">
      <c r="A383" s="39" t="n"/>
      <c r="U383" s="215" t="n"/>
      <c r="V383" s="215" t="n"/>
      <c r="W383" s="215" t="n"/>
      <c r="X383" s="215" t="n"/>
      <c r="Y383" s="215" t="n"/>
    </row>
    <row r="384" ht="15.75" customFormat="1" customHeight="1" s="215">
      <c r="A384" s="39" t="n"/>
      <c r="U384" s="215" t="n"/>
      <c r="V384" s="215" t="n"/>
      <c r="W384" s="215" t="n"/>
      <c r="X384" s="215" t="n"/>
      <c r="Y384" s="215" t="n"/>
    </row>
    <row r="385" ht="15.75" customFormat="1" customHeight="1" s="215">
      <c r="A385" s="39" t="n"/>
      <c r="U385" s="215" t="n"/>
      <c r="V385" s="215" t="n"/>
      <c r="W385" s="215" t="n"/>
      <c r="X385" s="215" t="n"/>
      <c r="Y385" s="215" t="n"/>
    </row>
    <row r="386" ht="15.75" customFormat="1" customHeight="1" s="215">
      <c r="A386" s="39" t="n"/>
      <c r="U386" s="215" t="n"/>
      <c r="V386" s="215" t="n"/>
      <c r="W386" s="215" t="n"/>
      <c r="X386" s="215" t="n"/>
      <c r="Y386" s="215" t="n"/>
    </row>
    <row r="387" ht="15.75" customFormat="1" customHeight="1" s="215">
      <c r="A387" s="39" t="n"/>
      <c r="U387" s="215" t="n"/>
      <c r="V387" s="215" t="n"/>
      <c r="W387" s="215" t="n"/>
      <c r="X387" s="215" t="n"/>
      <c r="Y387" s="215" t="n"/>
    </row>
    <row r="388" ht="15.75" customFormat="1" customHeight="1" s="215">
      <c r="A388" s="39" t="n"/>
      <c r="U388" s="215" t="n"/>
      <c r="V388" s="215" t="n"/>
      <c r="W388" s="215" t="n"/>
      <c r="X388" s="215" t="n"/>
      <c r="Y388" s="215" t="n"/>
    </row>
    <row r="389" ht="15.75" customFormat="1" customHeight="1" s="215">
      <c r="A389" s="39" t="n"/>
      <c r="U389" s="215" t="n"/>
      <c r="V389" s="215" t="n"/>
      <c r="W389" s="215" t="n"/>
      <c r="X389" s="215" t="n"/>
      <c r="Y389" s="215" t="n"/>
    </row>
    <row r="390" ht="15.75" customFormat="1" customHeight="1" s="215">
      <c r="A390" s="39" t="n"/>
      <c r="U390" s="215" t="n"/>
      <c r="V390" s="215" t="n"/>
      <c r="W390" s="215" t="n"/>
      <c r="X390" s="215" t="n"/>
      <c r="Y390" s="215" t="n"/>
    </row>
    <row r="391" ht="15.75" customFormat="1" customHeight="1" s="215">
      <c r="A391" s="39" t="n"/>
      <c r="U391" s="215" t="n"/>
      <c r="V391" s="215" t="n"/>
      <c r="W391" s="215" t="n"/>
      <c r="X391" s="215" t="n"/>
      <c r="Y391" s="215" t="n"/>
    </row>
    <row r="392" ht="15.75" customFormat="1" customHeight="1" s="215">
      <c r="A392" s="39" t="n"/>
      <c r="U392" s="215" t="n"/>
      <c r="V392" s="215" t="n"/>
      <c r="W392" s="215" t="n"/>
      <c r="X392" s="215" t="n"/>
      <c r="Y392" s="215" t="n"/>
    </row>
    <row r="393" ht="15.75" customFormat="1" customHeight="1" s="215">
      <c r="A393" s="39" t="n"/>
      <c r="U393" s="215" t="n"/>
      <c r="V393" s="215" t="n"/>
      <c r="W393" s="215" t="n"/>
      <c r="X393" s="215" t="n"/>
      <c r="Y393" s="215" t="n"/>
    </row>
    <row r="394" ht="15.75" customFormat="1" customHeight="1" s="215">
      <c r="A394" s="39" t="n"/>
      <c r="U394" s="215" t="n"/>
      <c r="V394" s="215" t="n"/>
      <c r="W394" s="215" t="n"/>
      <c r="X394" s="215" t="n"/>
      <c r="Y394" s="215" t="n"/>
    </row>
    <row r="395" ht="15.75" customFormat="1" customHeight="1" s="215">
      <c r="A395" s="39" t="n"/>
      <c r="U395" s="215" t="n"/>
      <c r="V395" s="215" t="n"/>
      <c r="W395" s="215" t="n"/>
      <c r="X395" s="215" t="n"/>
      <c r="Y395" s="215" t="n"/>
    </row>
    <row r="396" ht="15.75" customFormat="1" customHeight="1" s="215">
      <c r="A396" s="39" t="n"/>
      <c r="U396" s="215" t="n"/>
      <c r="V396" s="215" t="n"/>
      <c r="W396" s="215" t="n"/>
      <c r="X396" s="215" t="n"/>
      <c r="Y396" s="215" t="n"/>
    </row>
    <row r="397" ht="15.75" customFormat="1" customHeight="1" s="215">
      <c r="A397" s="39" t="n"/>
      <c r="U397" s="215" t="n"/>
      <c r="V397" s="215" t="n"/>
      <c r="W397" s="215" t="n"/>
      <c r="X397" s="215" t="n"/>
      <c r="Y397" s="215" t="n"/>
    </row>
    <row r="398" ht="15.75" customFormat="1" customHeight="1" s="215">
      <c r="A398" s="39" t="n"/>
      <c r="U398" s="215" t="n"/>
      <c r="V398" s="215" t="n"/>
      <c r="W398" s="215" t="n"/>
      <c r="X398" s="215" t="n"/>
      <c r="Y398" s="215" t="n"/>
    </row>
    <row r="399" ht="15.75" customFormat="1" customHeight="1" s="215">
      <c r="A399" s="39" t="n"/>
      <c r="U399" s="215" t="n"/>
      <c r="V399" s="215" t="n"/>
      <c r="W399" s="215" t="n"/>
      <c r="X399" s="215" t="n"/>
      <c r="Y399" s="215" t="n"/>
    </row>
    <row r="400" ht="15.75" customFormat="1" customHeight="1" s="215">
      <c r="A400" s="39" t="n"/>
      <c r="U400" s="215" t="n"/>
      <c r="V400" s="215" t="n"/>
      <c r="W400" s="215" t="n"/>
      <c r="X400" s="215" t="n"/>
      <c r="Y400" s="215" t="n"/>
    </row>
    <row r="401" ht="15.75" customFormat="1" customHeight="1" s="215">
      <c r="A401" s="39" t="n"/>
      <c r="U401" s="215" t="n"/>
      <c r="V401" s="215" t="n"/>
      <c r="W401" s="215" t="n"/>
      <c r="X401" s="215" t="n"/>
      <c r="Y401" s="215" t="n"/>
    </row>
    <row r="402" ht="15.75" customFormat="1" customHeight="1" s="215">
      <c r="A402" s="39" t="n"/>
      <c r="U402" s="215" t="n"/>
      <c r="V402" s="215" t="n"/>
      <c r="W402" s="215" t="n"/>
      <c r="X402" s="215" t="n"/>
      <c r="Y402" s="215" t="n"/>
    </row>
    <row r="403" ht="15.75" customFormat="1" customHeight="1" s="215">
      <c r="A403" s="39" t="n"/>
      <c r="U403" s="215" t="n"/>
      <c r="V403" s="215" t="n"/>
      <c r="W403" s="215" t="n"/>
      <c r="X403" s="215" t="n"/>
      <c r="Y403" s="215" t="n"/>
    </row>
    <row r="404" ht="15.75" customFormat="1" customHeight="1" s="215">
      <c r="A404" s="39" t="n"/>
      <c r="U404" s="215" t="n"/>
      <c r="V404" s="215" t="n"/>
      <c r="W404" s="215" t="n"/>
      <c r="X404" s="215" t="n"/>
      <c r="Y404" s="215" t="n"/>
    </row>
    <row r="405" ht="15.75" customFormat="1" customHeight="1" s="215">
      <c r="A405" s="39" t="n"/>
      <c r="U405" s="215" t="n"/>
      <c r="V405" s="215" t="n"/>
      <c r="W405" s="215" t="n"/>
      <c r="X405" s="215" t="n"/>
      <c r="Y405" s="215" t="n"/>
    </row>
    <row r="406" ht="15.75" customFormat="1" customHeight="1" s="215">
      <c r="A406" s="39" t="n"/>
      <c r="U406" s="215" t="n"/>
      <c r="V406" s="215" t="n"/>
      <c r="W406" s="215" t="n"/>
      <c r="X406" s="215" t="n"/>
      <c r="Y406" s="215" t="n"/>
    </row>
    <row r="407" ht="15.75" customFormat="1" customHeight="1" s="215">
      <c r="A407" s="39" t="n"/>
      <c r="U407" s="215" t="n"/>
      <c r="V407" s="215" t="n"/>
      <c r="W407" s="215" t="n"/>
      <c r="X407" s="215" t="n"/>
      <c r="Y407" s="215" t="n"/>
    </row>
    <row r="408" ht="15.75" customFormat="1" customHeight="1" s="215">
      <c r="A408" s="39" t="n"/>
      <c r="U408" s="215" t="n"/>
      <c r="V408" s="215" t="n"/>
      <c r="W408" s="215" t="n"/>
      <c r="X408" s="215" t="n"/>
      <c r="Y408" s="215" t="n"/>
    </row>
    <row r="409" ht="15.75" customFormat="1" customHeight="1" s="215">
      <c r="A409" s="39" t="n"/>
      <c r="U409" s="215" t="n"/>
      <c r="V409" s="215" t="n"/>
      <c r="W409" s="215" t="n"/>
      <c r="X409" s="215" t="n"/>
      <c r="Y409" s="215" t="n"/>
    </row>
    <row r="410" ht="15.75" customFormat="1" customHeight="1" s="215">
      <c r="A410" s="39" t="n"/>
      <c r="U410" s="215" t="n"/>
      <c r="V410" s="215" t="n"/>
      <c r="W410" s="215" t="n"/>
      <c r="X410" s="215" t="n"/>
      <c r="Y410" s="215" t="n"/>
    </row>
    <row r="411" ht="15.75" customFormat="1" customHeight="1" s="215">
      <c r="A411" s="39" t="n"/>
      <c r="U411" s="215" t="n"/>
      <c r="V411" s="215" t="n"/>
      <c r="W411" s="215" t="n"/>
      <c r="X411" s="215" t="n"/>
      <c r="Y411" s="215" t="n"/>
    </row>
    <row r="412" ht="15.75" customFormat="1" customHeight="1" s="215">
      <c r="A412" s="39" t="n"/>
      <c r="U412" s="215" t="n"/>
      <c r="V412" s="215" t="n"/>
      <c r="W412" s="215" t="n"/>
      <c r="X412" s="215" t="n"/>
      <c r="Y412" s="215" t="n"/>
    </row>
    <row r="413" ht="15.75" customFormat="1" customHeight="1" s="215">
      <c r="A413" s="39" t="n"/>
      <c r="U413" s="215" t="n"/>
      <c r="V413" s="215" t="n"/>
      <c r="W413" s="215" t="n"/>
      <c r="X413" s="215" t="n"/>
      <c r="Y413" s="215" t="n"/>
    </row>
    <row r="414" ht="15.75" customFormat="1" customHeight="1" s="215">
      <c r="A414" s="39" t="n"/>
      <c r="U414" s="215" t="n"/>
      <c r="V414" s="215" t="n"/>
      <c r="W414" s="215" t="n"/>
      <c r="X414" s="215" t="n"/>
      <c r="Y414" s="215" t="n"/>
    </row>
    <row r="415" ht="15.75" customFormat="1" customHeight="1" s="215">
      <c r="A415" s="39" t="n"/>
      <c r="U415" s="215" t="n"/>
      <c r="V415" s="215" t="n"/>
      <c r="W415" s="215" t="n"/>
      <c r="X415" s="215" t="n"/>
      <c r="Y415" s="215" t="n"/>
    </row>
    <row r="416" ht="15.75" customFormat="1" customHeight="1" s="215">
      <c r="A416" s="39" t="n"/>
      <c r="U416" s="215" t="n"/>
      <c r="V416" s="215" t="n"/>
      <c r="W416" s="215" t="n"/>
      <c r="X416" s="215" t="n"/>
      <c r="Y416" s="215" t="n"/>
    </row>
    <row r="417" ht="15.75" customFormat="1" customHeight="1" s="215">
      <c r="A417" s="39" t="n"/>
      <c r="U417" s="215" t="n"/>
      <c r="V417" s="215" t="n"/>
      <c r="W417" s="215" t="n"/>
      <c r="X417" s="215" t="n"/>
      <c r="Y417" s="215" t="n"/>
    </row>
    <row r="418" ht="15.75" customFormat="1" customHeight="1" s="215">
      <c r="A418" s="39" t="n"/>
      <c r="U418" s="215" t="n"/>
      <c r="V418" s="215" t="n"/>
      <c r="W418" s="215" t="n"/>
      <c r="X418" s="215" t="n"/>
      <c r="Y418" s="215" t="n"/>
    </row>
    <row r="419" ht="15.75" customFormat="1" customHeight="1" s="215">
      <c r="A419" s="39" t="n"/>
      <c r="U419" s="215" t="n"/>
      <c r="V419" s="215" t="n"/>
      <c r="W419" s="215" t="n"/>
      <c r="X419" s="215" t="n"/>
      <c r="Y419" s="215" t="n"/>
    </row>
    <row r="420" ht="15.75" customFormat="1" customHeight="1" s="215">
      <c r="A420" s="39" t="n"/>
      <c r="U420" s="215" t="n"/>
      <c r="V420" s="215" t="n"/>
      <c r="W420" s="215" t="n"/>
      <c r="X420" s="215" t="n"/>
      <c r="Y420" s="215" t="n"/>
    </row>
    <row r="421" ht="15.75" customFormat="1" customHeight="1" s="215">
      <c r="A421" s="39" t="n"/>
      <c r="U421" s="215" t="n"/>
      <c r="V421" s="215" t="n"/>
      <c r="W421" s="215" t="n"/>
      <c r="X421" s="215" t="n"/>
      <c r="Y421" s="215" t="n"/>
    </row>
    <row r="422" ht="15.75" customFormat="1" customHeight="1" s="215">
      <c r="A422" s="39" t="n"/>
      <c r="U422" s="215" t="n"/>
      <c r="V422" s="215" t="n"/>
      <c r="W422" s="215" t="n"/>
      <c r="X422" s="215" t="n"/>
      <c r="Y422" s="215" t="n"/>
    </row>
    <row r="423" ht="15.75" customFormat="1" customHeight="1" s="215">
      <c r="A423" s="39" t="n"/>
      <c r="U423" s="215" t="n"/>
      <c r="V423" s="215" t="n"/>
      <c r="W423" s="215" t="n"/>
      <c r="X423" s="215" t="n"/>
      <c r="Y423" s="215" t="n"/>
    </row>
    <row r="424" ht="15.75" customFormat="1" customHeight="1" s="215">
      <c r="A424" s="39" t="n"/>
      <c r="U424" s="215" t="n"/>
      <c r="V424" s="215" t="n"/>
      <c r="W424" s="215" t="n"/>
      <c r="X424" s="215" t="n"/>
      <c r="Y424" s="215" t="n"/>
    </row>
    <row r="425" ht="15.75" customFormat="1" customHeight="1" s="215">
      <c r="A425" s="39" t="n"/>
      <c r="U425" s="215" t="n"/>
      <c r="V425" s="215" t="n"/>
      <c r="W425" s="215" t="n"/>
      <c r="X425" s="215" t="n"/>
      <c r="Y425" s="215" t="n"/>
    </row>
    <row r="426" ht="15.75" customFormat="1" customHeight="1" s="215">
      <c r="A426" s="39" t="n"/>
      <c r="U426" s="215" t="n"/>
      <c r="V426" s="215" t="n"/>
      <c r="W426" s="215" t="n"/>
      <c r="X426" s="215" t="n"/>
      <c r="Y426" s="215" t="n"/>
    </row>
    <row r="427" ht="15.75" customFormat="1" customHeight="1" s="215">
      <c r="A427" s="39" t="n"/>
      <c r="U427" s="215" t="n"/>
      <c r="V427" s="215" t="n"/>
      <c r="W427" s="215" t="n"/>
      <c r="X427" s="215" t="n"/>
      <c r="Y427" s="215" t="n"/>
    </row>
    <row r="428" ht="15.75" customFormat="1" customHeight="1" s="215">
      <c r="A428" s="39" t="n"/>
      <c r="U428" s="215" t="n"/>
      <c r="V428" s="215" t="n"/>
      <c r="W428" s="215" t="n"/>
      <c r="X428" s="215" t="n"/>
      <c r="Y428" s="215" t="n"/>
    </row>
    <row r="429" ht="15.75" customFormat="1" customHeight="1" s="215">
      <c r="A429" s="39" t="n"/>
      <c r="U429" s="215" t="n"/>
      <c r="V429" s="215" t="n"/>
      <c r="W429" s="215" t="n"/>
      <c r="X429" s="215" t="n"/>
      <c r="Y429" s="215" t="n"/>
    </row>
    <row r="430" ht="15.75" customFormat="1" customHeight="1" s="215">
      <c r="A430" s="39" t="n"/>
      <c r="U430" s="215" t="n"/>
      <c r="V430" s="215" t="n"/>
      <c r="W430" s="215" t="n"/>
      <c r="X430" s="215" t="n"/>
      <c r="Y430" s="215" t="n"/>
    </row>
    <row r="431" ht="15.75" customFormat="1" customHeight="1" s="215">
      <c r="A431" s="39" t="n"/>
      <c r="U431" s="215" t="n"/>
      <c r="V431" s="215" t="n"/>
      <c r="W431" s="215" t="n"/>
      <c r="X431" s="215" t="n"/>
      <c r="Y431" s="215" t="n"/>
    </row>
    <row r="432" ht="15.75" customFormat="1" customHeight="1" s="215">
      <c r="A432" s="39" t="n"/>
      <c r="U432" s="215" t="n"/>
      <c r="V432" s="215" t="n"/>
      <c r="W432" s="215" t="n"/>
      <c r="X432" s="215" t="n"/>
      <c r="Y432" s="215" t="n"/>
    </row>
    <row r="433" ht="15.75" customFormat="1" customHeight="1" s="215">
      <c r="A433" s="39" t="n"/>
      <c r="U433" s="215" t="n"/>
      <c r="V433" s="215" t="n"/>
      <c r="W433" s="215" t="n"/>
      <c r="X433" s="215" t="n"/>
      <c r="Y433" s="215" t="n"/>
    </row>
    <row r="434" ht="15.75" customFormat="1" customHeight="1" s="215">
      <c r="A434" s="39" t="n"/>
      <c r="U434" s="215" t="n"/>
      <c r="V434" s="215" t="n"/>
      <c r="W434" s="215" t="n"/>
      <c r="X434" s="215" t="n"/>
      <c r="Y434" s="215" t="n"/>
    </row>
    <row r="435" ht="15.75" customFormat="1" customHeight="1" s="215">
      <c r="A435" s="39" t="n"/>
      <c r="U435" s="215" t="n"/>
      <c r="V435" s="215" t="n"/>
      <c r="W435" s="215" t="n"/>
      <c r="X435" s="215" t="n"/>
      <c r="Y435" s="215" t="n"/>
    </row>
    <row r="436" ht="15.75" customFormat="1" customHeight="1" s="215">
      <c r="A436" s="39" t="n"/>
      <c r="U436" s="215" t="n"/>
      <c r="V436" s="215" t="n"/>
      <c r="W436" s="215" t="n"/>
      <c r="X436" s="215" t="n"/>
      <c r="Y436" s="215" t="n"/>
    </row>
    <row r="437" ht="15.75" customFormat="1" customHeight="1" s="215">
      <c r="A437" s="39" t="n"/>
      <c r="U437" s="215" t="n"/>
      <c r="V437" s="215" t="n"/>
      <c r="W437" s="215" t="n"/>
      <c r="X437" s="215" t="n"/>
      <c r="Y437" s="215" t="n"/>
    </row>
    <row r="438" ht="15.75" customFormat="1" customHeight="1" s="215">
      <c r="A438" s="39" t="n"/>
      <c r="U438" s="215" t="n"/>
      <c r="V438" s="215" t="n"/>
      <c r="W438" s="215" t="n"/>
      <c r="X438" s="215" t="n"/>
      <c r="Y438" s="215" t="n"/>
    </row>
    <row r="439" ht="15.75" customFormat="1" customHeight="1" s="215">
      <c r="A439" s="39" t="n"/>
      <c r="U439" s="215" t="n"/>
      <c r="V439" s="215" t="n"/>
      <c r="W439" s="215" t="n"/>
      <c r="X439" s="215" t="n"/>
      <c r="Y439" s="215" t="n"/>
    </row>
    <row r="440" ht="15.75" customFormat="1" customHeight="1" s="215">
      <c r="A440" s="39" t="n"/>
      <c r="U440" s="215" t="n"/>
      <c r="V440" s="215" t="n"/>
      <c r="W440" s="215" t="n"/>
      <c r="X440" s="215" t="n"/>
      <c r="Y440" s="215" t="n"/>
    </row>
    <row r="441" ht="15.75" customFormat="1" customHeight="1" s="215">
      <c r="A441" s="39" t="n"/>
      <c r="U441" s="215" t="n"/>
      <c r="V441" s="215" t="n"/>
      <c r="W441" s="215" t="n"/>
      <c r="X441" s="215" t="n"/>
      <c r="Y441" s="215" t="n"/>
    </row>
    <row r="442" ht="15.75" customFormat="1" customHeight="1" s="215">
      <c r="A442" s="39" t="n"/>
      <c r="U442" s="215" t="n"/>
      <c r="V442" s="215" t="n"/>
      <c r="W442" s="215" t="n"/>
      <c r="X442" s="215" t="n"/>
      <c r="Y442" s="215" t="n"/>
    </row>
    <row r="443" ht="15.75" customFormat="1" customHeight="1" s="215">
      <c r="A443" s="39" t="n"/>
      <c r="U443" s="215" t="n"/>
      <c r="V443" s="215" t="n"/>
      <c r="W443" s="215" t="n"/>
      <c r="X443" s="215" t="n"/>
      <c r="Y443" s="215" t="n"/>
    </row>
    <row r="444" ht="15.75" customFormat="1" customHeight="1" s="215">
      <c r="A444" s="39" t="n"/>
      <c r="U444" s="215" t="n"/>
      <c r="V444" s="215" t="n"/>
      <c r="W444" s="215" t="n"/>
      <c r="X444" s="215" t="n"/>
      <c r="Y444" s="215" t="n"/>
    </row>
    <row r="445" ht="15.75" customFormat="1" customHeight="1" s="215">
      <c r="A445" s="39" t="n"/>
      <c r="U445" s="215" t="n"/>
      <c r="V445" s="215" t="n"/>
      <c r="W445" s="215" t="n"/>
      <c r="X445" s="215" t="n"/>
      <c r="Y445" s="215" t="n"/>
    </row>
    <row r="446" ht="15.75" customFormat="1" customHeight="1" s="215">
      <c r="A446" s="39" t="n"/>
      <c r="U446" s="215" t="n"/>
      <c r="V446" s="215" t="n"/>
      <c r="W446" s="215" t="n"/>
      <c r="X446" s="215" t="n"/>
      <c r="Y446" s="215" t="n"/>
    </row>
    <row r="447" ht="15.75" customFormat="1" customHeight="1" s="215">
      <c r="A447" s="39" t="n"/>
      <c r="U447" s="215" t="n"/>
      <c r="V447" s="215" t="n"/>
      <c r="W447" s="215" t="n"/>
      <c r="X447" s="215" t="n"/>
      <c r="Y447" s="215" t="n"/>
    </row>
    <row r="448" ht="15.75" customFormat="1" customHeight="1" s="215">
      <c r="A448" s="39" t="n"/>
      <c r="U448" s="215" t="n"/>
      <c r="V448" s="215" t="n"/>
      <c r="W448" s="215" t="n"/>
      <c r="X448" s="215" t="n"/>
      <c r="Y448" s="215" t="n"/>
    </row>
    <row r="449" ht="15.75" customFormat="1" customHeight="1" s="215">
      <c r="A449" s="39" t="n"/>
      <c r="U449" s="215" t="n"/>
      <c r="V449" s="215" t="n"/>
      <c r="W449" s="215" t="n"/>
      <c r="X449" s="215" t="n"/>
      <c r="Y449" s="215" t="n"/>
    </row>
    <row r="450" ht="15.75" customFormat="1" customHeight="1" s="215">
      <c r="A450" s="39" t="n"/>
      <c r="U450" s="215" t="n"/>
      <c r="V450" s="215" t="n"/>
      <c r="W450" s="215" t="n"/>
      <c r="X450" s="215" t="n"/>
      <c r="Y450" s="215" t="n"/>
    </row>
    <row r="451" ht="15.75" customFormat="1" customHeight="1" s="215">
      <c r="A451" s="39" t="n"/>
      <c r="U451" s="215" t="n"/>
      <c r="V451" s="215" t="n"/>
      <c r="W451" s="215" t="n"/>
      <c r="X451" s="215" t="n"/>
      <c r="Y451" s="215" t="n"/>
    </row>
    <row r="452" ht="15.75" customFormat="1" customHeight="1" s="215">
      <c r="A452" s="39" t="n"/>
      <c r="U452" s="215" t="n"/>
      <c r="V452" s="215" t="n"/>
      <c r="W452" s="215" t="n"/>
      <c r="X452" s="215" t="n"/>
      <c r="Y452" s="215" t="n"/>
    </row>
    <row r="453" ht="15.75" customFormat="1" customHeight="1" s="215">
      <c r="A453" s="39" t="n"/>
      <c r="U453" s="215" t="n"/>
      <c r="V453" s="215" t="n"/>
      <c r="W453" s="215" t="n"/>
      <c r="X453" s="215" t="n"/>
      <c r="Y453" s="215" t="n"/>
    </row>
    <row r="454" ht="15.75" customFormat="1" customHeight="1" s="215">
      <c r="A454" s="39" t="n"/>
      <c r="U454" s="215" t="n"/>
      <c r="V454" s="215" t="n"/>
      <c r="W454" s="215" t="n"/>
      <c r="X454" s="215" t="n"/>
      <c r="Y454" s="215" t="n"/>
    </row>
    <row r="455" ht="15.75" customFormat="1" customHeight="1" s="215">
      <c r="A455" s="39" t="n"/>
      <c r="U455" s="215" t="n"/>
      <c r="V455" s="215" t="n"/>
      <c r="W455" s="215" t="n"/>
      <c r="X455" s="215" t="n"/>
      <c r="Y455" s="215" t="n"/>
    </row>
    <row r="456" ht="15.75" customFormat="1" customHeight="1" s="215">
      <c r="A456" s="39" t="n"/>
      <c r="U456" s="215" t="n"/>
      <c r="V456" s="215" t="n"/>
      <c r="W456" s="215" t="n"/>
      <c r="X456" s="215" t="n"/>
      <c r="Y456" s="215" t="n"/>
    </row>
    <row r="457" ht="15.75" customFormat="1" customHeight="1" s="215">
      <c r="A457" s="39" t="n"/>
      <c r="U457" s="215" t="n"/>
      <c r="V457" s="215" t="n"/>
      <c r="W457" s="215" t="n"/>
      <c r="X457" s="215" t="n"/>
      <c r="Y457" s="215" t="n"/>
    </row>
    <row r="458" ht="15.75" customFormat="1" customHeight="1" s="215">
      <c r="A458" s="39" t="n"/>
      <c r="U458" s="215" t="n"/>
      <c r="V458" s="215" t="n"/>
      <c r="W458" s="215" t="n"/>
      <c r="X458" s="215" t="n"/>
      <c r="Y458" s="215" t="n"/>
    </row>
    <row r="459" ht="15.75" customFormat="1" customHeight="1" s="215">
      <c r="A459" s="39" t="n"/>
      <c r="U459" s="215" t="n"/>
      <c r="V459" s="215" t="n"/>
      <c r="W459" s="215" t="n"/>
      <c r="X459" s="215" t="n"/>
      <c r="Y459" s="215" t="n"/>
    </row>
    <row r="460" ht="15.75" customFormat="1" customHeight="1" s="215">
      <c r="A460" s="39" t="n"/>
      <c r="U460" s="215" t="n"/>
      <c r="V460" s="215" t="n"/>
      <c r="W460" s="215" t="n"/>
      <c r="X460" s="215" t="n"/>
      <c r="Y460" s="215" t="n"/>
    </row>
    <row r="461" ht="15.75" customFormat="1" customHeight="1" s="215">
      <c r="A461" s="39" t="n"/>
      <c r="U461" s="215" t="n"/>
      <c r="V461" s="215" t="n"/>
      <c r="W461" s="215" t="n"/>
      <c r="X461" s="215" t="n"/>
      <c r="Y461" s="215" t="n"/>
    </row>
    <row r="462" ht="15.75" customFormat="1" customHeight="1" s="215">
      <c r="A462" s="39" t="n"/>
      <c r="U462" s="215" t="n"/>
      <c r="V462" s="215" t="n"/>
      <c r="W462" s="215" t="n"/>
      <c r="X462" s="215" t="n"/>
      <c r="Y462" s="215" t="n"/>
    </row>
    <row r="463" ht="15.75" customFormat="1" customHeight="1" s="215">
      <c r="A463" s="39" t="n"/>
      <c r="U463" s="215" t="n"/>
      <c r="V463" s="215" t="n"/>
      <c r="W463" s="215" t="n"/>
      <c r="X463" s="215" t="n"/>
      <c r="Y463" s="215" t="n"/>
    </row>
    <row r="464" ht="15.75" customFormat="1" customHeight="1" s="215">
      <c r="A464" s="39" t="n"/>
      <c r="U464" s="215" t="n"/>
      <c r="V464" s="215" t="n"/>
      <c r="W464" s="215" t="n"/>
      <c r="X464" s="215" t="n"/>
      <c r="Y464" s="215" t="n"/>
    </row>
    <row r="465" ht="15.75" customFormat="1" customHeight="1" s="215">
      <c r="A465" s="39" t="n"/>
      <c r="U465" s="215" t="n"/>
      <c r="V465" s="215" t="n"/>
      <c r="W465" s="215" t="n"/>
      <c r="X465" s="215" t="n"/>
      <c r="Y465" s="215" t="n"/>
    </row>
    <row r="466" ht="15.75" customFormat="1" customHeight="1" s="215">
      <c r="A466" s="39" t="n"/>
      <c r="U466" s="215" t="n"/>
      <c r="V466" s="215" t="n"/>
      <c r="W466" s="215" t="n"/>
      <c r="X466" s="215" t="n"/>
      <c r="Y466" s="215" t="n"/>
    </row>
    <row r="467" ht="15.75" customFormat="1" customHeight="1" s="215">
      <c r="A467" s="39" t="n"/>
      <c r="U467" s="215" t="n"/>
      <c r="V467" s="215" t="n"/>
      <c r="W467" s="215" t="n"/>
      <c r="X467" s="215" t="n"/>
      <c r="Y467" s="215" t="n"/>
    </row>
    <row r="468" ht="15.75" customFormat="1" customHeight="1" s="215">
      <c r="A468" s="39" t="n"/>
      <c r="U468" s="215" t="n"/>
      <c r="V468" s="215" t="n"/>
      <c r="W468" s="215" t="n"/>
      <c r="X468" s="215" t="n"/>
      <c r="Y468" s="215" t="n"/>
    </row>
    <row r="469" ht="15.75" customFormat="1" customHeight="1" s="215">
      <c r="A469" s="39" t="n"/>
      <c r="U469" s="215" t="n"/>
      <c r="V469" s="215" t="n"/>
      <c r="W469" s="215" t="n"/>
      <c r="X469" s="215" t="n"/>
      <c r="Y469" s="215" t="n"/>
    </row>
    <row r="470" ht="15.75" customFormat="1" customHeight="1" s="215">
      <c r="A470" s="39" t="n"/>
      <c r="U470" s="215" t="n"/>
      <c r="V470" s="215" t="n"/>
      <c r="W470" s="215" t="n"/>
      <c r="X470" s="215" t="n"/>
      <c r="Y470" s="215" t="n"/>
    </row>
    <row r="471" ht="15.75" customFormat="1" customHeight="1" s="215">
      <c r="A471" s="39" t="n"/>
      <c r="U471" s="215" t="n"/>
      <c r="V471" s="215" t="n"/>
      <c r="W471" s="215" t="n"/>
      <c r="X471" s="215" t="n"/>
      <c r="Y471" s="215" t="n"/>
    </row>
    <row r="472" ht="15.75" customFormat="1" customHeight="1" s="215">
      <c r="A472" s="39" t="n"/>
      <c r="U472" s="215" t="n"/>
      <c r="V472" s="215" t="n"/>
      <c r="W472" s="215" t="n"/>
      <c r="X472" s="215" t="n"/>
      <c r="Y472" s="215" t="n"/>
    </row>
    <row r="473" ht="15.75" customFormat="1" customHeight="1" s="215">
      <c r="A473" s="39" t="n"/>
      <c r="U473" s="215" t="n"/>
      <c r="V473" s="215" t="n"/>
      <c r="W473" s="215" t="n"/>
      <c r="X473" s="215" t="n"/>
      <c r="Y473" s="215" t="n"/>
    </row>
    <row r="474" ht="15.75" customFormat="1" customHeight="1" s="215">
      <c r="A474" s="39" t="n"/>
      <c r="U474" s="215" t="n"/>
      <c r="V474" s="215" t="n"/>
      <c r="W474" s="215" t="n"/>
      <c r="X474" s="215" t="n"/>
      <c r="Y474" s="215" t="n"/>
    </row>
    <row r="475" ht="15.75" customFormat="1" customHeight="1" s="215">
      <c r="A475" s="39" t="n"/>
      <c r="U475" s="215" t="n"/>
      <c r="V475" s="215" t="n"/>
      <c r="W475" s="215" t="n"/>
      <c r="X475" s="215" t="n"/>
      <c r="Y475" s="215" t="n"/>
    </row>
    <row r="476" ht="15.75" customFormat="1" customHeight="1" s="215">
      <c r="A476" s="39" t="n"/>
      <c r="U476" s="215" t="n"/>
      <c r="V476" s="215" t="n"/>
      <c r="W476" s="215" t="n"/>
      <c r="X476" s="215" t="n"/>
      <c r="Y476" s="215" t="n"/>
    </row>
    <row r="477" ht="15.75" customFormat="1" customHeight="1" s="215">
      <c r="A477" s="39" t="n"/>
      <c r="U477" s="215" t="n"/>
      <c r="V477" s="215" t="n"/>
      <c r="W477" s="215" t="n"/>
      <c r="X477" s="215" t="n"/>
      <c r="Y477" s="215" t="n"/>
    </row>
    <row r="478" ht="15.75" customFormat="1" customHeight="1" s="215">
      <c r="A478" s="39" t="n"/>
      <c r="U478" s="215" t="n"/>
      <c r="V478" s="215" t="n"/>
      <c r="W478" s="215" t="n"/>
      <c r="X478" s="215" t="n"/>
      <c r="Y478" s="215" t="n"/>
    </row>
    <row r="479" ht="15.75" customFormat="1" customHeight="1" s="215">
      <c r="A479" s="39" t="n"/>
      <c r="U479" s="215" t="n"/>
      <c r="V479" s="215" t="n"/>
      <c r="W479" s="215" t="n"/>
      <c r="X479" s="215" t="n"/>
      <c r="Y479" s="215" t="n"/>
    </row>
    <row r="480" ht="15.75" customFormat="1" customHeight="1" s="215">
      <c r="A480" s="39" t="n"/>
      <c r="U480" s="215" t="n"/>
      <c r="V480" s="215" t="n"/>
      <c r="W480" s="215" t="n"/>
      <c r="X480" s="215" t="n"/>
      <c r="Y480" s="215" t="n"/>
    </row>
    <row r="481" ht="15.75" customFormat="1" customHeight="1" s="215">
      <c r="A481" s="39" t="n"/>
      <c r="U481" s="215" t="n"/>
      <c r="V481" s="215" t="n"/>
      <c r="W481" s="215" t="n"/>
      <c r="X481" s="215" t="n"/>
      <c r="Y481" s="215" t="n"/>
    </row>
    <row r="482" ht="15.75" customFormat="1" customHeight="1" s="215">
      <c r="A482" s="39" t="n"/>
      <c r="U482" s="215" t="n"/>
      <c r="V482" s="215" t="n"/>
      <c r="W482" s="215" t="n"/>
      <c r="X482" s="215" t="n"/>
      <c r="Y482" s="215" t="n"/>
    </row>
    <row r="483" ht="15.75" customFormat="1" customHeight="1" s="215">
      <c r="A483" s="39" t="n"/>
      <c r="U483" s="215" t="n"/>
      <c r="V483" s="215" t="n"/>
      <c r="W483" s="215" t="n"/>
      <c r="X483" s="215" t="n"/>
      <c r="Y483" s="215" t="n"/>
    </row>
    <row r="484" ht="15.75" customFormat="1" customHeight="1" s="215">
      <c r="A484" s="39" t="n"/>
      <c r="U484" s="215" t="n"/>
      <c r="V484" s="215" t="n"/>
      <c r="W484" s="215" t="n"/>
      <c r="X484" s="215" t="n"/>
      <c r="Y484" s="215" t="n"/>
    </row>
    <row r="485" ht="15.75" customFormat="1" customHeight="1" s="215">
      <c r="A485" s="39" t="n"/>
      <c r="U485" s="215" t="n"/>
      <c r="V485" s="215" t="n"/>
      <c r="W485" s="215" t="n"/>
      <c r="X485" s="215" t="n"/>
      <c r="Y485" s="215" t="n"/>
    </row>
    <row r="486" ht="15.75" customFormat="1" customHeight="1" s="215">
      <c r="A486" s="39" t="n"/>
      <c r="U486" s="215" t="n"/>
      <c r="V486" s="215" t="n"/>
      <c r="W486" s="215" t="n"/>
      <c r="X486" s="215" t="n"/>
      <c r="Y486" s="215" t="n"/>
    </row>
    <row r="487" ht="15.75" customFormat="1" customHeight="1" s="215">
      <c r="A487" s="39" t="n"/>
      <c r="U487" s="215" t="n"/>
      <c r="V487" s="215" t="n"/>
      <c r="W487" s="215" t="n"/>
      <c r="X487" s="215" t="n"/>
      <c r="Y487" s="215" t="n"/>
    </row>
    <row r="488" ht="15.75" customFormat="1" customHeight="1" s="215">
      <c r="A488" s="39" t="n"/>
      <c r="U488" s="215" t="n"/>
      <c r="V488" s="215" t="n"/>
      <c r="W488" s="215" t="n"/>
      <c r="X488" s="215" t="n"/>
      <c r="Y488" s="215" t="n"/>
    </row>
    <row r="489" ht="15.75" customFormat="1" customHeight="1" s="215">
      <c r="A489" s="39" t="n"/>
      <c r="U489" s="215" t="n"/>
      <c r="V489" s="215" t="n"/>
      <c r="W489" s="215" t="n"/>
      <c r="X489" s="215" t="n"/>
      <c r="Y489" s="215" t="n"/>
    </row>
    <row r="490" ht="15.75" customFormat="1" customHeight="1" s="215">
      <c r="A490" s="39" t="n"/>
      <c r="U490" s="215" t="n"/>
      <c r="V490" s="215" t="n"/>
      <c r="W490" s="215" t="n"/>
      <c r="X490" s="215" t="n"/>
      <c r="Y490" s="215" t="n"/>
    </row>
    <row r="491" ht="15.75" customFormat="1" customHeight="1" s="215">
      <c r="A491" s="40" t="n"/>
      <c r="U491" s="215" t="n"/>
      <c r="V491" s="215" t="n"/>
      <c r="W491" s="215" t="n"/>
      <c r="X491" s="215" t="n"/>
      <c r="Y491" s="215" t="n"/>
    </row>
    <row r="492" ht="15.75" customFormat="1" customHeight="1" s="215">
      <c r="A492" s="40" t="n"/>
      <c r="U492" s="215" t="n"/>
      <c r="V492" s="215" t="n"/>
      <c r="W492" s="215" t="n"/>
      <c r="X492" s="215" t="n"/>
      <c r="Y492" s="215" t="n"/>
    </row>
  </sheetData>
  <mergeCells count="13">
    <mergeCell ref="N7:N8"/>
    <mergeCell ref="A38:N38"/>
    <mergeCell ref="A2:M2"/>
    <mergeCell ref="A1:G1"/>
    <mergeCell ref="H1:N1"/>
    <mergeCell ref="L3:M3"/>
    <mergeCell ref="H3:I3"/>
    <mergeCell ref="A7:A8"/>
    <mergeCell ref="B7:E7"/>
    <mergeCell ref="F7:I7"/>
    <mergeCell ref="J7:M7"/>
    <mergeCell ref="B3:C3"/>
    <mergeCell ref="B4:C4"/>
  </mergeCells>
  <dataValidations count="1">
    <dataValidation sqref="A35:A37 A9:A33" showErrorMessage="1" showInputMessage="1" allowBlank="1"/>
  </dataValidations>
  <printOptions horizontalCentered="1"/>
  <pageMargins left="0.75" right="0.5" top="0.5" bottom="0.5" header="0.5" footer="0.5"/>
  <pageSetup orientation="landscape" scale="70" firstPageNumber="0"/>
</worksheet>
</file>

<file path=xl/worksheets/sheet3.xml><?xml version="1.0" encoding="utf-8"?>
<worksheet xmlns="http://schemas.openxmlformats.org/spreadsheetml/2006/main">
  <sheetPr codeName="Sheet9">
    <outlinePr summaryBelow="1" summaryRight="1"/>
    <pageSetUpPr/>
  </sheetPr>
  <dimension ref="A1:P31"/>
  <sheetViews>
    <sheetView showGridLines="0" topLeftCell="A4" zoomScaleNormal="100" zoomScaleSheetLayoutView="110" workbookViewId="0">
      <selection activeCell="G23" sqref="G23"/>
    </sheetView>
  </sheetViews>
  <sheetFormatPr baseColWidth="8" defaultColWidth="9.140625" defaultRowHeight="14.25"/>
  <cols>
    <col width="17.5703125" customWidth="1" style="215" min="1" max="1"/>
    <col width="13.7109375" customWidth="1" style="6" min="2" max="2"/>
    <col width="12.28515625" customWidth="1" style="6" min="3" max="3"/>
    <col width="13.7109375" customWidth="1" style="6" min="4" max="13"/>
    <col width="13.7109375" customWidth="1" style="215" min="14" max="16"/>
    <col width="9.140625" customWidth="1" style="215" min="17" max="16384"/>
  </cols>
  <sheetData>
    <row r="1" ht="23.25" customHeight="1" s="220">
      <c r="A1" s="348" t="inlineStr">
        <is>
          <t>WELLSITE BIT RECORD</t>
        </is>
      </c>
    </row>
    <row r="2" ht="15.6" customHeight="1" s="220">
      <c r="A2" s="377" t="n"/>
      <c r="G2" s="29" t="n"/>
    </row>
    <row r="3" ht="27.75" customHeight="1" s="220">
      <c r="A3" s="368" t="inlineStr">
        <is>
          <t>**Please remember to insert the Bit # and the Leg # (if necessary)**
**Please do not add or remove any columns**</t>
        </is>
      </c>
    </row>
    <row r="4" ht="15.6" customHeight="1" s="220">
      <c r="A4" s="29" t="n"/>
      <c r="B4" s="29" t="n"/>
      <c r="C4" s="29" t="n"/>
      <c r="D4" s="29" t="n"/>
      <c r="E4" s="29" t="n"/>
      <c r="F4" s="29" t="n"/>
      <c r="G4" s="29" t="n"/>
      <c r="H4" s="29" t="n"/>
      <c r="I4" s="29" t="n"/>
      <c r="J4" s="29" t="n"/>
      <c r="K4" s="29" t="n"/>
      <c r="L4" s="29" t="n"/>
      <c r="M4" s="29" t="n"/>
    </row>
    <row r="5" ht="15.6" customHeight="1" s="220">
      <c r="A5" s="24" t="inlineStr">
        <is>
          <t>Bit #</t>
        </is>
      </c>
      <c r="B5" s="48" t="n">
        <v>1</v>
      </c>
      <c r="C5" s="48" t="n">
        <v>2</v>
      </c>
      <c r="D5" s="48" t="n">
        <v>3</v>
      </c>
      <c r="E5" s="48" t="inlineStr">
        <is>
          <t>3RR1</t>
        </is>
      </c>
      <c r="F5" s="48" t="inlineStr">
        <is>
          <t>3RR2</t>
        </is>
      </c>
      <c r="G5" s="48" t="inlineStr">
        <is>
          <t>3RR3</t>
        </is>
      </c>
      <c r="H5" s="48" t="inlineStr">
        <is>
          <t>3RR4</t>
        </is>
      </c>
      <c r="I5" s="48" t="n"/>
      <c r="J5" s="48" t="n"/>
      <c r="K5" s="305" t="n"/>
      <c r="L5" s="305" t="n"/>
      <c r="M5" s="306" t="n"/>
      <c r="N5" s="306" t="n"/>
      <c r="O5" s="306" t="n"/>
      <c r="P5" s="49" t="n"/>
    </row>
    <row r="6" ht="15.6" customFormat="1" customHeight="1" s="39">
      <c r="A6" s="87" t="inlineStr">
        <is>
          <t>Leg #</t>
        </is>
      </c>
      <c r="B6" s="116" t="n">
        <v>1</v>
      </c>
      <c r="C6" s="116" t="n">
        <v>1</v>
      </c>
      <c r="D6" s="116" t="n">
        <v>1</v>
      </c>
      <c r="E6" s="116" t="n">
        <v>2</v>
      </c>
      <c r="F6" s="116" t="n">
        <v>3</v>
      </c>
      <c r="G6" s="116" t="n">
        <v>4</v>
      </c>
      <c r="H6" s="116" t="n">
        <v>5</v>
      </c>
      <c r="I6" s="116" t="n"/>
      <c r="J6" s="116" t="n"/>
      <c r="K6" s="116" t="n"/>
      <c r="L6" s="116" t="n"/>
      <c r="M6" s="117" t="n"/>
      <c r="N6" s="117" t="n"/>
      <c r="O6" s="117" t="n"/>
      <c r="P6" s="117" t="n"/>
    </row>
    <row r="7" ht="15.6" customFormat="1" customHeight="1" s="39">
      <c r="A7" s="89" t="inlineStr">
        <is>
          <t>Size (mm)</t>
        </is>
      </c>
      <c r="B7" s="75" t="n">
        <v>311</v>
      </c>
      <c r="C7" s="75" t="n">
        <v>222</v>
      </c>
      <c r="D7" s="75" t="n">
        <v>159</v>
      </c>
      <c r="E7" s="75" t="n">
        <v>159</v>
      </c>
      <c r="F7" s="75" t="n">
        <v>159</v>
      </c>
      <c r="G7" s="75" t="n">
        <v>159</v>
      </c>
      <c r="H7" s="75" t="n">
        <v>159</v>
      </c>
      <c r="I7" s="75" t="n"/>
      <c r="J7" s="75" t="n"/>
      <c r="K7" s="75" t="n"/>
      <c r="L7" s="75" t="n"/>
      <c r="M7" s="76" t="n"/>
      <c r="N7" s="76" t="n"/>
      <c r="O7" s="76" t="n"/>
      <c r="P7" s="76" t="n"/>
    </row>
    <row r="8" ht="15.6" customFormat="1" customHeight="1" s="39">
      <c r="A8" s="90" t="inlineStr">
        <is>
          <t>Make</t>
        </is>
      </c>
      <c r="B8" s="91" t="inlineStr">
        <is>
          <t>Gmack</t>
        </is>
      </c>
      <c r="C8" s="91" t="inlineStr">
        <is>
          <t>Drillformance</t>
        </is>
      </c>
      <c r="D8" s="91" t="inlineStr">
        <is>
          <t>Drillformance</t>
        </is>
      </c>
      <c r="E8" s="91" t="inlineStr">
        <is>
          <t>Drillformance</t>
        </is>
      </c>
      <c r="F8" s="91" t="inlineStr">
        <is>
          <t>Drillformance</t>
        </is>
      </c>
      <c r="G8" s="91" t="inlineStr">
        <is>
          <t>Drillformance</t>
        </is>
      </c>
      <c r="H8" s="91" t="inlineStr">
        <is>
          <t>Drillformance</t>
        </is>
      </c>
      <c r="I8" s="91" t="n"/>
      <c r="J8" s="91" t="n"/>
      <c r="K8" s="91" t="n"/>
      <c r="L8" s="91" t="n"/>
      <c r="M8" s="92" t="n"/>
      <c r="N8" s="92" t="n"/>
      <c r="O8" s="92" t="n"/>
      <c r="P8" s="92" t="n"/>
    </row>
    <row r="9" ht="26.25" customFormat="1" customHeight="1" s="39">
      <c r="A9" s="89" t="inlineStr">
        <is>
          <t>Type</t>
        </is>
      </c>
      <c r="B9" s="122" t="inlineStr">
        <is>
          <t>GXD-C1X</t>
        </is>
      </c>
      <c r="C9" s="122" t="inlineStr">
        <is>
          <t>DF513</t>
        </is>
      </c>
      <c r="D9" s="122" t="inlineStr">
        <is>
          <t>DF513</t>
        </is>
      </c>
      <c r="E9" s="122" t="inlineStr">
        <is>
          <t>DF513</t>
        </is>
      </c>
      <c r="F9" s="122" t="inlineStr">
        <is>
          <t>DF513</t>
        </is>
      </c>
      <c r="G9" s="122" t="inlineStr">
        <is>
          <t>DF513</t>
        </is>
      </c>
      <c r="H9" s="122" t="inlineStr">
        <is>
          <t>DF513</t>
        </is>
      </c>
      <c r="I9" s="122" t="n"/>
      <c r="J9" s="122" t="n"/>
      <c r="K9" s="122" t="n"/>
      <c r="L9" s="122" t="n"/>
      <c r="M9" s="123" t="n"/>
      <c r="N9" s="123" t="n"/>
      <c r="O9" s="123" t="n"/>
      <c r="P9" s="123" t="n"/>
    </row>
    <row r="10" ht="15.6" customFormat="1" customHeight="1" s="39">
      <c r="A10" s="90" t="inlineStr">
        <is>
          <t>Serial #</t>
        </is>
      </c>
      <c r="B10" s="124" t="n">
        <v>5033620</v>
      </c>
      <c r="C10" s="124" t="n">
        <v>34925</v>
      </c>
      <c r="D10" s="124" t="n">
        <v>14734</v>
      </c>
      <c r="E10" s="124" t="n">
        <v>14734</v>
      </c>
      <c r="F10" s="124" t="n">
        <v>14734</v>
      </c>
      <c r="G10" s="124" t="n">
        <v>14734</v>
      </c>
      <c r="H10" s="124" t="n">
        <v>14734</v>
      </c>
      <c r="I10" s="124" t="n"/>
      <c r="J10" s="124" t="n"/>
      <c r="K10" s="124" t="n"/>
      <c r="L10" s="124" t="n"/>
      <c r="M10" s="125" t="n"/>
      <c r="N10" s="125" t="n"/>
      <c r="O10" s="125" t="n"/>
      <c r="P10" s="125" t="n"/>
    </row>
    <row r="11" ht="27" customFormat="1" customHeight="1" s="39">
      <c r="A11" s="93" t="inlineStr">
        <is>
          <t>Jets</t>
        </is>
      </c>
      <c r="B11" s="75" t="inlineStr">
        <is>
          <t>3 X 15.90</t>
        </is>
      </c>
      <c r="C11" s="303" t="inlineStr">
        <is>
          <t>8 X 10.30</t>
        </is>
      </c>
      <c r="D11" s="303" t="inlineStr">
        <is>
          <t>5 X 10.30</t>
        </is>
      </c>
      <c r="E11" s="303" t="inlineStr">
        <is>
          <t>5 X 10.30</t>
        </is>
      </c>
      <c r="F11" s="303" t="inlineStr">
        <is>
          <t>5 X 10.30</t>
        </is>
      </c>
      <c r="G11" s="303" t="inlineStr">
        <is>
          <t>5 X 10.30</t>
        </is>
      </c>
      <c r="H11" s="303" t="inlineStr">
        <is>
          <t>5 X 10.30</t>
        </is>
      </c>
      <c r="I11" s="303" t="n"/>
      <c r="J11" s="303" t="n"/>
      <c r="K11" s="75" t="n"/>
      <c r="L11" s="75" t="n"/>
      <c r="M11" s="76" t="n"/>
      <c r="N11" s="76" t="n"/>
      <c r="O11" s="76" t="n"/>
      <c r="P11" s="76" t="n"/>
    </row>
    <row r="12" ht="15.6" customFormat="1" customHeight="1" s="39">
      <c r="A12" s="90" t="inlineStr">
        <is>
          <t>Depth In</t>
        </is>
      </c>
      <c r="B12" s="91" t="n">
        <v>0</v>
      </c>
      <c r="C12" s="91" t="n">
        <v>92</v>
      </c>
      <c r="D12" s="91" t="n">
        <v>793</v>
      </c>
      <c r="E12" s="91" t="n">
        <v>1007</v>
      </c>
      <c r="F12" s="91" t="n">
        <v>890</v>
      </c>
      <c r="G12" s="331" t="n">
        <v>825</v>
      </c>
      <c r="H12" s="91" t="n"/>
      <c r="I12" s="91" t="n"/>
      <c r="J12" s="91" t="n"/>
      <c r="K12" s="91" t="n"/>
      <c r="L12" s="91" t="n"/>
      <c r="M12" s="92" t="n"/>
      <c r="N12" s="92" t="n"/>
      <c r="O12" s="92" t="n"/>
      <c r="P12" s="92" t="n"/>
    </row>
    <row r="13" ht="15.6" customFormat="1" customHeight="1" s="39">
      <c r="A13" s="89" t="inlineStr">
        <is>
          <t>Depth Out</t>
        </is>
      </c>
      <c r="B13" s="75" t="n">
        <v>92</v>
      </c>
      <c r="C13" s="75" t="n">
        <v>793</v>
      </c>
      <c r="D13" s="75" t="n">
        <v>2707</v>
      </c>
      <c r="E13" s="75" t="n">
        <v>2273</v>
      </c>
      <c r="F13" s="75" t="n">
        <v>2550</v>
      </c>
      <c r="G13" s="75" t="n"/>
      <c r="H13" s="75" t="n"/>
      <c r="I13" s="75" t="n"/>
      <c r="J13" s="75" t="n"/>
      <c r="K13" s="75" t="n"/>
      <c r="L13" s="75" t="n"/>
      <c r="M13" s="76" t="n"/>
      <c r="N13" s="76" t="n"/>
      <c r="O13" s="76" t="n"/>
      <c r="P13" s="76" t="n"/>
    </row>
    <row r="14" ht="15.6" customFormat="1" customHeight="1" s="39">
      <c r="A14" s="90" t="inlineStr">
        <is>
          <t>Metres</t>
        </is>
      </c>
      <c r="B14" s="94">
        <f>+B13-B12</f>
        <v/>
      </c>
      <c r="C14" s="94">
        <f>+C13-C12</f>
        <v/>
      </c>
      <c r="D14" s="94">
        <f>+D13-D12</f>
        <v/>
      </c>
      <c r="E14" s="94">
        <f>+E13-E12</f>
        <v/>
      </c>
      <c r="F14" s="94">
        <f>+F13-F12</f>
        <v/>
      </c>
      <c r="G14" s="94">
        <f>+G13-G12</f>
        <v/>
      </c>
      <c r="H14" s="94">
        <f>+H13-H12</f>
        <v/>
      </c>
      <c r="I14" s="94" t="n"/>
      <c r="J14" s="94" t="n"/>
      <c r="K14" s="94" t="n"/>
      <c r="L14" s="94" t="n"/>
      <c r="M14" s="95" t="n"/>
      <c r="N14" s="95" t="n"/>
      <c r="O14" s="95" t="n"/>
      <c r="P14" s="95">
        <f>+P13-P12</f>
        <v/>
      </c>
    </row>
    <row r="15" ht="15.6" customFormat="1" customHeight="1" s="39">
      <c r="A15" s="89" t="inlineStr">
        <is>
          <t>Hours</t>
        </is>
      </c>
      <c r="B15" s="75" t="n">
        <v>2.5</v>
      </c>
      <c r="C15" s="75" t="n">
        <v>10.5</v>
      </c>
      <c r="D15" s="75" t="n">
        <v>23.75</v>
      </c>
      <c r="E15" s="75" t="n">
        <v>12.5</v>
      </c>
      <c r="F15" s="75" t="n">
        <v>16.25</v>
      </c>
      <c r="G15" s="75" t="n"/>
      <c r="H15" s="75" t="n"/>
      <c r="I15" s="75" t="n"/>
      <c r="J15" s="75" t="n"/>
      <c r="K15" s="75" t="n"/>
      <c r="L15" s="75" t="n"/>
      <c r="M15" s="76" t="n"/>
      <c r="N15" s="76" t="n"/>
      <c r="O15" s="76" t="n"/>
      <c r="P15" s="76" t="n"/>
    </row>
    <row r="16" ht="15.6" customFormat="1" customHeight="1" s="39">
      <c r="A16" s="90" t="inlineStr">
        <is>
          <t>Acc. Hrs.</t>
        </is>
      </c>
      <c r="B16" s="96">
        <f>B15</f>
        <v/>
      </c>
      <c r="C16" s="96">
        <f>B16+C15</f>
        <v/>
      </c>
      <c r="D16" s="96">
        <f>C16+D15</f>
        <v/>
      </c>
      <c r="E16" s="96">
        <f>D16+E15</f>
        <v/>
      </c>
      <c r="F16" s="96">
        <f>E16+F15</f>
        <v/>
      </c>
      <c r="G16" s="96">
        <f>F16+G15</f>
        <v/>
      </c>
      <c r="H16" s="96">
        <f>G16+H15</f>
        <v/>
      </c>
      <c r="I16" s="96" t="n"/>
      <c r="J16" s="96" t="n"/>
      <c r="K16" s="96" t="n"/>
      <c r="L16" s="96" t="n"/>
      <c r="M16" s="97" t="n"/>
      <c r="N16" s="97" t="n"/>
      <c r="O16" s="97" t="n"/>
      <c r="P16" s="97">
        <f>P15+O16</f>
        <v/>
      </c>
    </row>
    <row r="17" ht="15.6" customFormat="1" customHeight="1" s="39">
      <c r="A17" s="89" t="inlineStr">
        <is>
          <t>ROP (m/hr)</t>
        </is>
      </c>
      <c r="B17" s="98">
        <f>IF(ISERROR(B14/B15),0,B14/B15)</f>
        <v/>
      </c>
      <c r="C17" s="98">
        <f>IF(ISERROR(C14/C15),0,C14/C15)</f>
        <v/>
      </c>
      <c r="D17" s="98">
        <f>IF(ISERROR(D14/D15),0,D14/D15)</f>
        <v/>
      </c>
      <c r="E17" s="98">
        <f>IF(ISERROR(E14/E15),0,E14/E15)</f>
        <v/>
      </c>
      <c r="F17" s="98">
        <f>IF(ISERROR(F14/F15),0,F14/F15)</f>
        <v/>
      </c>
      <c r="G17" s="98">
        <f>IF(ISERROR(G14/G15),0,G14/G15)</f>
        <v/>
      </c>
      <c r="H17" s="98">
        <f>IF(ISERROR(H14/H15),0,H14/H15)</f>
        <v/>
      </c>
      <c r="I17" s="98" t="n"/>
      <c r="J17" s="98" t="n"/>
      <c r="K17" s="98" t="n"/>
      <c r="L17" s="98" t="n"/>
      <c r="M17" s="99" t="n"/>
      <c r="N17" s="99" t="n"/>
      <c r="O17" s="99" t="n"/>
      <c r="P17" s="99">
        <f>IF(ISERROR(P14/P15),0,P14/P15)</f>
        <v/>
      </c>
    </row>
    <row r="18" ht="15.6" customFormat="1" customHeight="1" s="39">
      <c r="A18" s="90" t="inlineStr">
        <is>
          <t>FOB</t>
        </is>
      </c>
      <c r="B18" s="100" t="inlineStr">
        <is>
          <t>6000</t>
        </is>
      </c>
      <c r="C18" s="100" t="inlineStr">
        <is>
          <t>10000-14000</t>
        </is>
      </c>
      <c r="D18" s="100" t="inlineStr">
        <is>
          <t>8000-14000</t>
        </is>
      </c>
      <c r="E18" s="100" t="inlineStr">
        <is>
          <t>10000-13000</t>
        </is>
      </c>
      <c r="F18" s="100" t="inlineStr">
        <is>
          <t>10000-13000</t>
        </is>
      </c>
      <c r="G18" s="100" t="inlineStr">
        <is>
          <t>13000</t>
        </is>
      </c>
      <c r="H18" s="100" t="n"/>
      <c r="I18" s="100" t="n"/>
      <c r="J18" s="100" t="n"/>
      <c r="K18" s="100" t="n"/>
      <c r="L18" s="100" t="n"/>
      <c r="M18" s="101" t="n"/>
      <c r="N18" s="101" t="n"/>
      <c r="O18" s="101" t="n"/>
      <c r="P18" s="101" t="n"/>
    </row>
    <row r="19" ht="15.6" customFormat="1" customHeight="1" s="56">
      <c r="A19" s="102" t="inlineStr">
        <is>
          <t>RPM</t>
        </is>
      </c>
      <c r="B19" s="103" t="inlineStr">
        <is>
          <t>0-160</t>
        </is>
      </c>
      <c r="C19" s="103" t="inlineStr">
        <is>
          <t>0/35-40+mm</t>
        </is>
      </c>
      <c r="D19" s="103" t="inlineStr">
        <is>
          <t>0/45-55+mm</t>
        </is>
      </c>
      <c r="E19" s="103" t="inlineStr">
        <is>
          <t>0/50-55+mm</t>
        </is>
      </c>
      <c r="F19" s="103" t="inlineStr">
        <is>
          <t>0/50-55+mm</t>
        </is>
      </c>
      <c r="G19" s="103" t="inlineStr">
        <is>
          <t>0-55+mm</t>
        </is>
      </c>
      <c r="H19" s="103" t="n"/>
      <c r="I19" s="103" t="n"/>
      <c r="J19" s="304" t="n"/>
      <c r="K19" s="103" t="n"/>
      <c r="L19" s="103" t="n"/>
      <c r="M19" s="104" t="n"/>
      <c r="N19" s="104" t="n"/>
      <c r="O19" s="104" t="n"/>
      <c r="P19" s="104" t="n"/>
    </row>
    <row r="20" ht="15.6" customFormat="1" customHeight="1" s="57">
      <c r="A20" s="105" t="inlineStr">
        <is>
          <t>PP</t>
        </is>
      </c>
      <c r="B20" s="100" t="inlineStr">
        <is>
          <t>3150</t>
        </is>
      </c>
      <c r="C20" s="100" t="inlineStr">
        <is>
          <t>7300-9800</t>
        </is>
      </c>
      <c r="D20" s="100" t="inlineStr">
        <is>
          <t>9800-14400</t>
        </is>
      </c>
      <c r="E20" s="100" t="inlineStr">
        <is>
          <t>9800-13900</t>
        </is>
      </c>
      <c r="F20" s="100" t="inlineStr">
        <is>
          <t>10500-14900</t>
        </is>
      </c>
      <c r="G20" s="100" t="inlineStr">
        <is>
          <t>14900</t>
        </is>
      </c>
      <c r="H20" s="100" t="n"/>
      <c r="I20" s="100" t="n"/>
      <c r="J20" s="100" t="n"/>
      <c r="K20" s="100" t="n"/>
      <c r="L20" s="100" t="n"/>
      <c r="M20" s="101" t="n"/>
      <c r="N20" s="101" t="n"/>
      <c r="O20" s="101" t="n"/>
      <c r="P20" s="101" t="n"/>
    </row>
    <row r="21" ht="15.6" customFormat="1" customHeight="1" s="39">
      <c r="A21" s="89" t="inlineStr">
        <is>
          <t xml:space="preserve">Den </t>
        </is>
      </c>
      <c r="B21" s="103" t="inlineStr">
        <is>
          <t>1010-1130</t>
        </is>
      </c>
      <c r="C21" s="103" t="inlineStr">
        <is>
          <t>1020-1100</t>
        </is>
      </c>
      <c r="D21" s="103" t="inlineStr">
        <is>
          <t>850-880</t>
        </is>
      </c>
      <c r="E21" s="103" t="inlineStr">
        <is>
          <t>870-880</t>
        </is>
      </c>
      <c r="F21" s="103" t="inlineStr">
        <is>
          <t>870-880</t>
        </is>
      </c>
      <c r="G21" s="103" t="inlineStr">
        <is>
          <t>870</t>
        </is>
      </c>
      <c r="H21" s="103" t="n"/>
      <c r="I21" s="103" t="n"/>
      <c r="J21" s="304" t="n"/>
      <c r="K21" s="103" t="n"/>
      <c r="L21" s="103" t="n"/>
      <c r="M21" s="104" t="n"/>
      <c r="N21" s="104" t="n"/>
      <c r="O21" s="104" t="n"/>
      <c r="P21" s="104" t="n"/>
    </row>
    <row r="22" ht="15.6" customFormat="1" customHeight="1" s="39">
      <c r="A22" s="90" t="inlineStr">
        <is>
          <t>Viscosity</t>
        </is>
      </c>
      <c r="B22" s="100" t="inlineStr">
        <is>
          <t>29-38</t>
        </is>
      </c>
      <c r="C22" s="100" t="inlineStr">
        <is>
          <t>30-45</t>
        </is>
      </c>
      <c r="D22" s="100" t="inlineStr">
        <is>
          <t>43-44</t>
        </is>
      </c>
      <c r="E22" s="100" t="inlineStr">
        <is>
          <t>44-46</t>
        </is>
      </c>
      <c r="F22" s="100" t="inlineStr">
        <is>
          <t>43-45</t>
        </is>
      </c>
      <c r="G22" s="100" t="inlineStr">
        <is>
          <t>44</t>
        </is>
      </c>
      <c r="H22" s="100" t="n"/>
      <c r="I22" s="100" t="n"/>
      <c r="J22" s="100" t="n"/>
      <c r="K22" s="100" t="n"/>
      <c r="L22" s="100" t="n"/>
      <c r="M22" s="101" t="n"/>
      <c r="N22" s="101" t="n"/>
      <c r="O22" s="101" t="n"/>
      <c r="P22" s="101" t="n"/>
    </row>
    <row r="23" ht="15.6" customFormat="1" customHeight="1" s="39">
      <c r="A23" s="88" t="inlineStr">
        <is>
          <t>Max Dev.°</t>
        </is>
      </c>
      <c r="B23" s="106" t="inlineStr">
        <is>
          <t>0.58</t>
        </is>
      </c>
      <c r="C23" s="106" t="inlineStr">
        <is>
          <t>89.8</t>
        </is>
      </c>
      <c r="D23" s="106" t="inlineStr">
        <is>
          <t>92.40</t>
        </is>
      </c>
      <c r="E23" s="106" t="inlineStr">
        <is>
          <t>92.92</t>
        </is>
      </c>
      <c r="F23" s="106" t="inlineStr">
        <is>
          <t>92.31</t>
        </is>
      </c>
      <c r="G23" s="332" t="n"/>
      <c r="H23" s="106" t="n"/>
      <c r="I23" s="106" t="n"/>
      <c r="J23" s="106" t="n"/>
      <c r="K23" s="106" t="n"/>
      <c r="L23" s="106" t="n"/>
      <c r="M23" s="107" t="n"/>
      <c r="N23" s="107" t="n"/>
      <c r="O23" s="107" t="n"/>
      <c r="P23" s="107" t="n"/>
    </row>
    <row r="24" ht="15.6" customHeight="1" s="220">
      <c r="A24" s="22" t="inlineStr">
        <is>
          <t>PDC Bit:</t>
        </is>
      </c>
      <c r="B24" s="27" t="inlineStr">
        <is>
          <t>A/B/C/D</t>
        </is>
      </c>
      <c r="C24" s="27" t="inlineStr">
        <is>
          <t>A/B/C/D</t>
        </is>
      </c>
      <c r="D24" s="27" t="inlineStr">
        <is>
          <t>A/B/C/D</t>
        </is>
      </c>
      <c r="E24" s="27" t="inlineStr">
        <is>
          <t>A/B/C/D</t>
        </is>
      </c>
      <c r="F24" s="27" t="inlineStr">
        <is>
          <t>A/B/C/D</t>
        </is>
      </c>
      <c r="G24" s="330" t="inlineStr">
        <is>
          <t>A/B/C/D</t>
        </is>
      </c>
      <c r="H24" s="27" t="inlineStr">
        <is>
          <t>A/B/C/D</t>
        </is>
      </c>
      <c r="I24" s="27" t="inlineStr">
        <is>
          <t>A/B/C/D</t>
        </is>
      </c>
      <c r="J24" s="27" t="inlineStr">
        <is>
          <t>A/B/C/D</t>
        </is>
      </c>
      <c r="K24" s="307" t="n"/>
      <c r="L24" s="307" t="n"/>
      <c r="M24" s="308" t="n"/>
      <c r="N24" s="308" t="n"/>
      <c r="O24" s="308" t="n"/>
      <c r="P24" s="28" t="inlineStr">
        <is>
          <t>A/B/C/D</t>
        </is>
      </c>
    </row>
    <row r="25" ht="15.6" customFormat="1" customHeight="1" s="39">
      <c r="A25" s="30" t="n"/>
      <c r="B25" s="58" t="n"/>
      <c r="C25" s="58" t="n"/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60" t="n"/>
      <c r="N25" s="60" t="n"/>
      <c r="O25" s="60" t="n"/>
      <c r="P25" s="60" t="n"/>
    </row>
    <row r="26" ht="15.6" customHeight="1" s="220">
      <c r="A26" s="22" t="inlineStr">
        <is>
          <t>Tricone Bit:</t>
        </is>
      </c>
      <c r="B26" s="61" t="inlineStr">
        <is>
          <t>IR/OR/D/L</t>
        </is>
      </c>
      <c r="C26" s="61" t="inlineStr">
        <is>
          <t>IR/OR/D/L</t>
        </is>
      </c>
      <c r="D26" s="61" t="inlineStr">
        <is>
          <t>IR/OR/D/L</t>
        </is>
      </c>
      <c r="E26" s="61" t="inlineStr">
        <is>
          <t>IR/OR/D/L</t>
        </is>
      </c>
      <c r="F26" s="61" t="inlineStr">
        <is>
          <t>IR/OR/D/L</t>
        </is>
      </c>
      <c r="G26" s="61" t="inlineStr">
        <is>
          <t>IR/OR/D/L</t>
        </is>
      </c>
      <c r="H26" s="61" t="inlineStr">
        <is>
          <t>IR/OR/D/L</t>
        </is>
      </c>
      <c r="I26" s="61" t="inlineStr">
        <is>
          <t>IR/OR/D/L</t>
        </is>
      </c>
      <c r="J26" s="61" t="inlineStr">
        <is>
          <t>IR/OR/D/L</t>
        </is>
      </c>
      <c r="K26" s="309" t="n"/>
      <c r="L26" s="309" t="n"/>
      <c r="M26" s="310" t="n"/>
      <c r="N26" s="310" t="n"/>
      <c r="O26" s="310" t="n"/>
      <c r="P26" s="62" t="inlineStr">
        <is>
          <t>IR/OR/D/L</t>
        </is>
      </c>
    </row>
    <row r="27" ht="15" customFormat="1" customHeight="1" s="39">
      <c r="A27" s="523" t="n"/>
      <c r="B27" s="58" t="n"/>
      <c r="C27" s="58" t="n"/>
      <c r="D27" s="58" t="n"/>
      <c r="E27" s="58" t="n"/>
      <c r="F27" s="58" t="n"/>
      <c r="G27" s="58" t="n"/>
      <c r="H27" s="58" t="n"/>
      <c r="I27" s="58" t="n"/>
      <c r="J27" s="58" t="n"/>
      <c r="K27" s="58" t="n"/>
      <c r="L27" s="58" t="n"/>
      <c r="M27" s="60" t="n"/>
      <c r="N27" s="60" t="n"/>
      <c r="O27" s="60" t="n"/>
      <c r="P27" s="60" t="n"/>
    </row>
    <row r="28" ht="15" customHeight="1" s="220">
      <c r="A28" s="524" t="n"/>
      <c r="B28" s="61" t="inlineStr">
        <is>
          <t>B/G/O/RP</t>
        </is>
      </c>
      <c r="C28" s="61" t="inlineStr">
        <is>
          <t>B/G/O/RP</t>
        </is>
      </c>
      <c r="D28" s="61" t="inlineStr">
        <is>
          <t>B/G/O/RP</t>
        </is>
      </c>
      <c r="E28" s="61" t="inlineStr">
        <is>
          <t>B/G/O/RP</t>
        </is>
      </c>
      <c r="F28" s="61" t="inlineStr">
        <is>
          <t>B/G/O/RP</t>
        </is>
      </c>
      <c r="G28" s="61" t="inlineStr">
        <is>
          <t>B/G/O/RP</t>
        </is>
      </c>
      <c r="H28" s="61" t="inlineStr">
        <is>
          <t>B/G/O/RP</t>
        </is>
      </c>
      <c r="I28" s="61" t="inlineStr">
        <is>
          <t>B/G/O/RP</t>
        </is>
      </c>
      <c r="J28" s="61" t="inlineStr">
        <is>
          <t>B/G/O/RP</t>
        </is>
      </c>
      <c r="K28" s="309" t="n"/>
      <c r="L28" s="309" t="n"/>
      <c r="M28" s="310" t="n"/>
      <c r="N28" s="310" t="n"/>
      <c r="O28" s="310" t="n"/>
      <c r="P28" s="62" t="inlineStr">
        <is>
          <t>B/G/O/RP</t>
        </is>
      </c>
    </row>
    <row r="29" ht="15.6" customHeight="1" s="220">
      <c r="A29" s="525" t="n"/>
      <c r="B29" s="58" t="n"/>
      <c r="C29" s="58" t="n"/>
      <c r="D29" s="58" t="n"/>
      <c r="E29" s="58" t="n"/>
      <c r="F29" s="58" t="n"/>
      <c r="G29" s="58" t="n"/>
      <c r="H29" s="58" t="n"/>
      <c r="I29" s="58" t="n"/>
      <c r="J29" s="58" t="n"/>
      <c r="K29" s="58" t="n"/>
      <c r="L29" s="58" t="n"/>
      <c r="M29" s="60" t="n"/>
      <c r="N29" s="60" t="n"/>
      <c r="O29" s="60" t="n"/>
      <c r="P29" s="60" t="n"/>
    </row>
    <row r="30" ht="15" customFormat="1" customHeight="1" s="39">
      <c r="A30" s="50" t="inlineStr">
        <is>
          <t>Notes:</t>
        </is>
      </c>
      <c r="B30" s="63" t="n"/>
      <c r="C30" s="63" t="n"/>
      <c r="D30" s="63" t="n"/>
      <c r="E30" s="63" t="n"/>
      <c r="F30" s="63" t="n"/>
      <c r="G30" s="63" t="n"/>
      <c r="H30" s="63" t="n"/>
      <c r="I30" s="63" t="n"/>
      <c r="J30" s="63" t="n"/>
      <c r="K30" s="311" t="n"/>
      <c r="L30" s="311" t="n"/>
      <c r="M30" s="311" t="n"/>
      <c r="N30" s="311" t="n"/>
      <c r="O30" s="311" t="n"/>
      <c r="P30" s="63" t="n"/>
    </row>
    <row r="31" ht="15.6" customHeight="1" s="220">
      <c r="A31" s="64" t="n"/>
      <c r="B31" s="58" t="inlineStr">
        <is>
          <t>Surface Hole</t>
        </is>
      </c>
      <c r="C31" s="58" t="inlineStr">
        <is>
          <t>Build Section</t>
        </is>
      </c>
      <c r="D31" s="58" t="inlineStr">
        <is>
          <t>Leg #1</t>
        </is>
      </c>
      <c r="E31" s="58" t="inlineStr">
        <is>
          <t>Leg #2</t>
        </is>
      </c>
      <c r="F31" s="58" t="inlineStr">
        <is>
          <t>Leg #3</t>
        </is>
      </c>
      <c r="G31" s="58" t="inlineStr">
        <is>
          <t>Leg #4</t>
        </is>
      </c>
      <c r="H31" s="58" t="inlineStr">
        <is>
          <t>Leg #5</t>
        </is>
      </c>
      <c r="I31" s="58" t="n"/>
      <c r="J31" s="58" t="n"/>
      <c r="K31" s="58" t="n"/>
      <c r="L31" s="58" t="n"/>
      <c r="M31" s="60" t="n"/>
      <c r="N31" s="60" t="n"/>
      <c r="O31" s="60" t="n"/>
      <c r="P31" s="60" t="n"/>
    </row>
    <row r="32" ht="15.6" customHeight="1" s="220"/>
    <row r="33" ht="15.6" customHeight="1" s="220"/>
    <row r="34" ht="15.6" customHeight="1" s="220"/>
    <row r="35" ht="15.6" customHeight="1" s="220"/>
    <row r="36" ht="15.6" customHeight="1" s="220"/>
    <row r="37" ht="15.6" customHeight="1" s="220"/>
    <row r="38" ht="15.6" customHeight="1" s="220"/>
    <row r="39" ht="15.6" customHeight="1" s="220"/>
  </sheetData>
  <mergeCells count="4">
    <mergeCell ref="A1:D1"/>
    <mergeCell ref="A2:F2"/>
    <mergeCell ref="A3:M3"/>
    <mergeCell ref="A27:A29"/>
  </mergeCells>
  <printOptions horizontalCentered="1"/>
  <pageMargins left="0.75" right="0.5" top="0.5" bottom="0.5" header="0.5" footer="0.5"/>
  <pageSetup orientation="portrait" firstPageNumber="0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D3:I4"/>
  <sheetViews>
    <sheetView workbookViewId="0">
      <selection activeCell="D3" sqref="D3"/>
    </sheetView>
  </sheetViews>
  <sheetFormatPr baseColWidth="8" defaultRowHeight="12.75"/>
  <sheetData>
    <row r="3">
      <c r="D3" s="132" t="inlineStr">
        <is>
          <t>Quality</t>
        </is>
      </c>
      <c r="E3" s="132" t="inlineStr">
        <is>
          <t>Quality</t>
        </is>
      </c>
      <c r="F3" s="132" t="inlineStr">
        <is>
          <t>Quality</t>
        </is>
      </c>
      <c r="G3" s="132" t="inlineStr">
        <is>
          <t>Quality</t>
        </is>
      </c>
      <c r="H3" s="132" t="inlineStr">
        <is>
          <t>Quality</t>
        </is>
      </c>
      <c r="I3" s="132" t="inlineStr">
        <is>
          <t>Quality</t>
        </is>
      </c>
    </row>
    <row r="4">
      <c r="D4" t="n">
        <v>0</v>
      </c>
      <c r="E4" t="n">
        <v>1</v>
      </c>
      <c r="F4" t="n">
        <v>2</v>
      </c>
      <c r="G4" t="n">
        <v>3</v>
      </c>
      <c r="H4" t="n">
        <v>4</v>
      </c>
      <c r="I4" t="n">
        <v>5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 fitToPage="1"/>
  </sheetPr>
  <dimension ref="A1:Y50"/>
  <sheetViews>
    <sheetView topLeftCell="A13" zoomScaleNormal="100" workbookViewId="0">
      <selection activeCell="B38" sqref="B38:L3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Height="1" s="220">
      <c r="A1" s="348" t="n"/>
    </row>
    <row r="2" ht="23.25" customFormat="1" customHeight="1" s="241">
      <c r="A2" s="348" t="inlineStr">
        <is>
          <t xml:space="preserve">TARGET AND LATERAL SUMMARY </t>
        </is>
      </c>
      <c r="M2" s="160" t="n"/>
      <c r="N2" s="161" t="n"/>
      <c r="O2" s="161" t="n"/>
      <c r="P2" s="161" t="n"/>
      <c r="R2" s="162" t="inlineStr">
        <is>
          <t>Just a reminder to please:</t>
        </is>
      </c>
      <c r="S2" s="162" t="n"/>
      <c r="T2" s="162" t="n"/>
    </row>
    <row r="3" ht="15" customHeight="1" s="220">
      <c r="A3" s="386" t="n"/>
      <c r="M3" s="162" t="n"/>
      <c r="N3" s="162" t="n"/>
      <c r="O3" s="162" t="n"/>
      <c r="P3" s="162" t="n"/>
      <c r="Q3" s="149" t="inlineStr">
        <is>
          <t>1.</t>
        </is>
      </c>
      <c r="R3" s="126" t="inlineStr">
        <is>
          <t>send in the license and any amendments with the final report files</t>
        </is>
      </c>
    </row>
    <row r="4" ht="15" customHeight="1" s="220">
      <c r="A4" s="439" t="inlineStr">
        <is>
          <t>**Please do not add or remove any columns**</t>
        </is>
      </c>
      <c r="M4" s="162" t="n"/>
      <c r="N4" s="162" t="n"/>
      <c r="O4" s="162" t="n"/>
      <c r="P4" s="162" t="n"/>
      <c r="Q4" s="149" t="inlineStr">
        <is>
          <t>2.</t>
        </is>
      </c>
      <c r="R4" s="126" t="inlineStr">
        <is>
          <t>submit the directional surveys in txt or excel format (no PDFs)</t>
        </is>
      </c>
    </row>
    <row r="5">
      <c r="A5" s="386" t="n"/>
      <c r="M5" s="162" t="n"/>
      <c r="N5" s="162" t="n"/>
      <c r="O5" s="162" t="n"/>
      <c r="P5" s="162" t="n"/>
    </row>
    <row r="6" ht="23.25" customHeight="1" s="220">
      <c r="A6" s="388" t="inlineStr">
        <is>
          <t>Leg #1</t>
        </is>
      </c>
      <c r="B6" s="225" t="n"/>
      <c r="C6" s="225" t="n"/>
      <c r="D6" s="225" t="n"/>
      <c r="E6" s="225" t="n"/>
      <c r="F6" s="225" t="n"/>
      <c r="G6" s="225" t="n"/>
      <c r="H6" s="225" t="n"/>
      <c r="I6" s="225" t="n"/>
      <c r="J6" s="225" t="n"/>
      <c r="K6" s="225" t="n"/>
      <c r="L6" s="225" t="n"/>
    </row>
    <row r="7" ht="17.25" customHeight="1" s="220">
      <c r="A7" s="389" t="inlineStr">
        <is>
          <t>Porosity and Reservoir Quality Summary</t>
        </is>
      </c>
      <c r="B7" s="526" t="n"/>
      <c r="C7" s="526" t="n"/>
      <c r="D7" s="526" t="n"/>
      <c r="E7" s="526" t="n"/>
      <c r="F7" s="526" t="n"/>
      <c r="G7" s="526" t="n"/>
      <c r="H7" s="526" t="n"/>
      <c r="I7" s="526" t="n"/>
      <c r="J7" s="526" t="n"/>
      <c r="K7" s="526" t="n"/>
      <c r="L7" s="526" t="n"/>
      <c r="Q7" s="401" t="inlineStr">
        <is>
          <t>Target Summary</t>
        </is>
      </c>
      <c r="R7" s="506" t="n"/>
      <c r="S7" s="506" t="n"/>
      <c r="T7" s="506" t="n"/>
      <c r="U7" s="506" t="n"/>
      <c r="V7" s="506" t="n"/>
    </row>
    <row r="8" ht="13.15" customHeight="1" s="220">
      <c r="A8" s="391" t="inlineStr">
        <is>
          <t>Measured Depth</t>
        </is>
      </c>
      <c r="B8" s="527" t="n"/>
      <c r="C8" s="173" t="inlineStr">
        <is>
          <t>Porosity (%)</t>
        </is>
      </c>
      <c r="D8" s="527" t="n"/>
      <c r="E8" s="108" t="n"/>
      <c r="F8" s="528" t="n"/>
      <c r="G8" s="528" t="n"/>
      <c r="H8" s="528" t="n"/>
      <c r="I8" s="528" t="n"/>
      <c r="J8" s="529" t="n"/>
      <c r="K8" s="396" t="inlineStr">
        <is>
          <t>Reservoir</t>
        </is>
      </c>
      <c r="L8" s="528" t="n"/>
      <c r="Q8" s="403" t="inlineStr">
        <is>
          <t>Initial Targets</t>
        </is>
      </c>
      <c r="R8" s="526" t="n"/>
      <c r="S8" s="530" t="n"/>
      <c r="T8" s="531" t="inlineStr">
        <is>
          <t>Adjusted Targets</t>
        </is>
      </c>
      <c r="U8" s="526" t="n"/>
      <c r="V8" s="530" t="n"/>
    </row>
    <row r="9">
      <c r="A9" s="395" t="inlineStr">
        <is>
          <t>From</t>
        </is>
      </c>
      <c r="B9" s="108" t="inlineStr">
        <is>
          <t>To</t>
        </is>
      </c>
      <c r="C9" s="108" t="inlineStr">
        <is>
          <t>High</t>
        </is>
      </c>
      <c r="D9" s="109" t="inlineStr">
        <is>
          <t>Low</t>
        </is>
      </c>
      <c r="E9" s="532" t="inlineStr">
        <is>
          <t>Comments</t>
        </is>
      </c>
      <c r="J9" s="533" t="n"/>
      <c r="K9" s="399" t="inlineStr">
        <is>
          <t>Quality</t>
        </is>
      </c>
      <c r="Q9" s="144" t="inlineStr">
        <is>
          <t>MD</t>
        </is>
      </c>
      <c r="R9" s="145" t="inlineStr">
        <is>
          <t>TVD</t>
        </is>
      </c>
      <c r="S9" s="150" t="inlineStr">
        <is>
          <t>Subsea</t>
        </is>
      </c>
      <c r="T9" s="151" t="inlineStr">
        <is>
          <t>MD</t>
        </is>
      </c>
      <c r="U9" s="146" t="inlineStr">
        <is>
          <t>TVD</t>
        </is>
      </c>
      <c r="V9" s="150" t="inlineStr">
        <is>
          <t>Subsea</t>
        </is>
      </c>
    </row>
    <row r="10" ht="12.75" customHeight="1" s="220">
      <c r="A10" s="129" t="n">
        <v>793</v>
      </c>
      <c r="B10" s="284" t="n">
        <v>900</v>
      </c>
      <c r="C10" s="534" t="n">
        <v>0.18</v>
      </c>
      <c r="D10" s="535" t="inlineStr">
        <is>
          <t>3-6%</t>
        </is>
      </c>
      <c r="E10" s="381" t="inlineStr">
        <is>
          <t>Gas low below 120u, mod clay cont,</t>
        </is>
      </c>
      <c r="F10" s="536" t="n"/>
      <c r="G10" s="536" t="n"/>
      <c r="H10" s="536" t="n"/>
      <c r="I10" s="536" t="n"/>
      <c r="J10" s="537" t="n"/>
      <c r="K10" s="384" t="n">
        <v>3</v>
      </c>
      <c r="L10" s="537" t="n"/>
      <c r="N10" s="133" t="n"/>
      <c r="Q10" s="284" t="n">
        <v>793</v>
      </c>
      <c r="R10" s="284" t="n">
        <v>577.6</v>
      </c>
      <c r="S10" s="288" t="n">
        <v>111.3</v>
      </c>
      <c r="T10" s="297" t="n"/>
      <c r="U10" s="298" t="n"/>
      <c r="V10" s="299" t="n"/>
      <c r="W10" s="147" t="n"/>
    </row>
    <row r="11">
      <c r="A11" s="129">
        <f>B10</f>
        <v/>
      </c>
      <c r="B11" s="284" t="n">
        <v>940</v>
      </c>
      <c r="C11" s="534" t="n">
        <v>0.18</v>
      </c>
      <c r="D11" s="535" t="inlineStr">
        <is>
          <t>3-6%</t>
        </is>
      </c>
      <c r="E11" s="381" t="inlineStr">
        <is>
          <t>Gas increasing, -0.14m below target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284" t="n">
        <v>900</v>
      </c>
      <c r="R11" s="284" t="n">
        <v>577.4</v>
      </c>
      <c r="S11" s="288" t="n">
        <v>111.5</v>
      </c>
      <c r="T11" s="297" t="n"/>
      <c r="U11" s="298" t="n"/>
      <c r="V11" s="299" t="n"/>
      <c r="W11" s="147" t="n"/>
    </row>
    <row r="12" ht="12" customHeight="1" s="220">
      <c r="A12" s="129">
        <f>B11</f>
        <v/>
      </c>
      <c r="B12" s="284" t="n">
        <v>1050</v>
      </c>
      <c r="C12" s="534" t="n">
        <v>0.18</v>
      </c>
      <c r="D12" s="535" t="n">
        <v>0.12</v>
      </c>
      <c r="E12" s="381" t="inlineStr">
        <is>
          <t>low gas, poor sample qual. Good ROP/gamma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284" t="n">
        <v>1000</v>
      </c>
      <c r="R12" s="284" t="n">
        <v>577.4</v>
      </c>
      <c r="S12" s="288" t="n">
        <v>111.5</v>
      </c>
      <c r="T12" s="297" t="n"/>
      <c r="U12" s="298" t="n"/>
      <c r="V12" s="299" t="n"/>
      <c r="W12" s="147" t="n"/>
    </row>
    <row r="13">
      <c r="A13" s="129">
        <f>B12</f>
        <v/>
      </c>
      <c r="B13" s="284" t="n">
        <v>1080</v>
      </c>
      <c r="C13" s="534" t="inlineStr">
        <is>
          <t>12-18%</t>
        </is>
      </c>
      <c r="D13" s="535" t="inlineStr">
        <is>
          <t>3-9%</t>
        </is>
      </c>
      <c r="E13" s="381" t="inlineStr">
        <is>
          <t>low gas, irregular ROP, mnr irreg gamma, poor samples</t>
        </is>
      </c>
      <c r="F13" s="536" t="n"/>
      <c r="G13" s="536" t="n"/>
      <c r="H13" s="536" t="n"/>
      <c r="I13" s="536" t="n"/>
      <c r="J13" s="537" t="n"/>
      <c r="K13" s="384" t="n">
        <v>3</v>
      </c>
      <c r="L13" s="537" t="n"/>
      <c r="N13" s="133" t="n"/>
      <c r="Q13" s="284" t="n">
        <v>1065</v>
      </c>
      <c r="R13" s="284" t="n">
        <v>577.4</v>
      </c>
      <c r="S13" s="288" t="n">
        <v>111.5</v>
      </c>
      <c r="T13" s="297" t="n"/>
      <c r="U13" s="298" t="n"/>
      <c r="V13" s="299" t="n"/>
      <c r="W13" s="147" t="n"/>
    </row>
    <row r="14" ht="12.75" customHeight="1" s="220">
      <c r="A14" s="129">
        <f>B13</f>
        <v/>
      </c>
      <c r="B14" s="284" t="n">
        <v>1160</v>
      </c>
      <c r="C14" s="534" t="n">
        <v>0.18</v>
      </c>
      <c r="D14" s="535" t="n">
        <v>0.12</v>
      </c>
      <c r="E14" s="381" t="inlineStr">
        <is>
          <t>Good samples, mnr locz calc cmnt, tr coal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N14" s="133" t="n"/>
      <c r="Q14" s="284" t="n">
        <v>1095</v>
      </c>
      <c r="R14" s="284" t="n">
        <v>577.4</v>
      </c>
      <c r="S14" s="288" t="n">
        <v>111.5</v>
      </c>
      <c r="T14" s="297" t="n"/>
      <c r="U14" s="298" t="n"/>
      <c r="V14" s="299" t="n"/>
      <c r="W14" s="147" t="n"/>
    </row>
    <row r="15">
      <c r="A15" s="129">
        <f>B14</f>
        <v/>
      </c>
      <c r="B15" s="284" t="n">
        <v>1240</v>
      </c>
      <c r="C15" s="534" t="n">
        <v>0.18</v>
      </c>
      <c r="D15" s="535" t="n">
        <v>0.12</v>
      </c>
      <c r="E15" s="381" t="inlineStr">
        <is>
          <t>Improving gas, gd ROP, tr coal, mnr calc cmt</t>
        </is>
      </c>
      <c r="F15" s="536" t="n"/>
      <c r="G15" s="536" t="n"/>
      <c r="H15" s="536" t="n"/>
      <c r="I15" s="536" t="n"/>
      <c r="J15" s="537" t="n"/>
      <c r="K15" s="384" t="n">
        <v>4</v>
      </c>
      <c r="L15" s="537" t="n"/>
      <c r="N15" s="133" t="n"/>
      <c r="Q15" s="284" t="n">
        <v>1155</v>
      </c>
      <c r="R15" s="284" t="n">
        <v>577.4</v>
      </c>
      <c r="S15" s="288" t="n">
        <v>111.5</v>
      </c>
      <c r="T15" s="297" t="n"/>
      <c r="U15" s="298" t="n"/>
      <c r="V15" s="299" t="n"/>
      <c r="W15" s="148" t="n"/>
    </row>
    <row r="16">
      <c r="A16" s="129">
        <f>B15</f>
        <v/>
      </c>
      <c r="B16" s="284" t="n">
        <v>1360</v>
      </c>
      <c r="C16" s="534" t="inlineStr">
        <is>
          <t>18-12%</t>
        </is>
      </c>
      <c r="D16" s="535" t="inlineStr">
        <is>
          <t>3-9%</t>
        </is>
      </c>
      <c r="E16" s="381" t="inlineStr">
        <is>
          <t>Mod gas, gd ROP/Gamma/incr calc cmt, tr coal frags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284" t="n">
        <v>1200</v>
      </c>
      <c r="R16" s="284" t="n">
        <v>577.4</v>
      </c>
      <c r="S16" s="288" t="n">
        <v>111.5</v>
      </c>
      <c r="T16" s="297" t="n"/>
      <c r="U16" s="298" t="n"/>
      <c r="V16" s="299" t="n"/>
      <c r="W16" s="147" t="n"/>
    </row>
    <row r="17">
      <c r="A17" s="129">
        <f>B16</f>
        <v/>
      </c>
      <c r="B17" s="284" t="n">
        <v>1430</v>
      </c>
      <c r="C17" s="534" t="inlineStr">
        <is>
          <t>12-18%</t>
        </is>
      </c>
      <c r="D17" s="535" t="inlineStr">
        <is>
          <t>3-9%</t>
        </is>
      </c>
      <c r="E17" s="381" t="inlineStr">
        <is>
          <t>Good ROP, mod gas, locz calc cmt, rr coal frags</t>
        </is>
      </c>
      <c r="F17" s="536" t="n"/>
      <c r="G17" s="536" t="n"/>
      <c r="H17" s="536" t="n"/>
      <c r="I17" s="536" t="n"/>
      <c r="J17" s="537" t="n"/>
      <c r="K17" s="384" t="n">
        <v>4</v>
      </c>
      <c r="L17" s="537" t="n"/>
      <c r="N17" s="133" t="n"/>
      <c r="P17" t="inlineStr">
        <is>
          <t xml:space="preserve">  </t>
        </is>
      </c>
      <c r="Q17" s="284" t="n">
        <v>1232</v>
      </c>
      <c r="R17" s="284" t="n">
        <v>577.4</v>
      </c>
      <c r="S17" s="288" t="n">
        <v>111.5</v>
      </c>
      <c r="T17" s="297" t="n"/>
      <c r="U17" s="298" t="n"/>
      <c r="V17" s="299" t="n"/>
      <c r="W17" s="147" t="n"/>
    </row>
    <row r="18">
      <c r="A18" s="129">
        <f>B17</f>
        <v/>
      </c>
      <c r="B18" s="284" t="n">
        <v>1500</v>
      </c>
      <c r="C18" s="534" t="n">
        <v>0.18</v>
      </c>
      <c r="D18" s="535" t="n">
        <v>0.12</v>
      </c>
      <c r="E18" s="381" t="inlineStr">
        <is>
          <t>Improving gas, gd ROP, tr coal, mnr calc cmt</t>
        </is>
      </c>
      <c r="F18" s="536" t="n"/>
      <c r="G18" s="536" t="n"/>
      <c r="H18" s="536" t="n"/>
      <c r="I18" s="536" t="n"/>
      <c r="J18" s="537" t="n"/>
      <c r="K18" s="384" t="n">
        <v>4</v>
      </c>
      <c r="L18" s="537" t="n"/>
      <c r="N18" s="133" t="n"/>
      <c r="Q18" s="284" t="n">
        <v>1300</v>
      </c>
      <c r="R18" s="284" t="n">
        <v>577.4</v>
      </c>
      <c r="S18" s="288" t="n">
        <v>111.5</v>
      </c>
      <c r="T18" s="297" t="n"/>
      <c r="U18" s="298" t="n"/>
      <c r="V18" s="299" t="n"/>
      <c r="W18" s="147" t="n"/>
    </row>
    <row r="19" ht="12.75" customHeight="1" s="220">
      <c r="A19" s="129">
        <f>B18</f>
        <v/>
      </c>
      <c r="B19" s="284" t="n">
        <v>1545</v>
      </c>
      <c r="C19" s="534" t="inlineStr">
        <is>
          <t>12-18%</t>
        </is>
      </c>
      <c r="D19" s="535" t="inlineStr">
        <is>
          <t>3-9%</t>
        </is>
      </c>
      <c r="E19" s="381" t="inlineStr">
        <is>
          <t>Good ROP, mod gas, locz calc cmt, rr coal frags</t>
        </is>
      </c>
      <c r="F19" s="536" t="n"/>
      <c r="G19" s="536" t="n"/>
      <c r="H19" s="536" t="n"/>
      <c r="I19" s="536" t="n"/>
      <c r="J19" s="537" t="n"/>
      <c r="K19" s="384" t="n">
        <v>4</v>
      </c>
      <c r="L19" s="537" t="n"/>
      <c r="N19" s="133" t="n"/>
      <c r="Q19" s="284" t="n">
        <v>1400</v>
      </c>
      <c r="R19" s="284" t="n">
        <v>577.4</v>
      </c>
      <c r="S19" s="288" t="n">
        <v>111.5</v>
      </c>
      <c r="T19" s="297" t="n"/>
      <c r="U19" s="298" t="n"/>
      <c r="V19" s="299" t="n"/>
      <c r="W19" s="147" t="n"/>
    </row>
    <row r="20">
      <c r="A20" s="129">
        <f>B19</f>
        <v/>
      </c>
      <c r="B20" s="284" t="n">
        <v>1615</v>
      </c>
      <c r="C20" s="534" t="n">
        <v>0.18</v>
      </c>
      <c r="D20" s="535" t="n">
        <v>0.12</v>
      </c>
      <c r="E20" s="381" t="inlineStr">
        <is>
          <t>Improving gas, gd ROP, tr coal, mnr calc cmt</t>
        </is>
      </c>
      <c r="F20" s="536" t="n"/>
      <c r="G20" s="536" t="n"/>
      <c r="H20" s="536" t="n"/>
      <c r="I20" s="536" t="n"/>
      <c r="J20" s="537" t="n"/>
      <c r="K20" s="384" t="n">
        <v>4</v>
      </c>
      <c r="L20" s="537" t="n"/>
      <c r="N20" s="133" t="n"/>
      <c r="Q20" s="284" t="n">
        <v>1500</v>
      </c>
      <c r="R20" s="284" t="n">
        <v>577.4</v>
      </c>
      <c r="S20" s="288" t="n">
        <v>111.5</v>
      </c>
      <c r="T20" s="297" t="n"/>
      <c r="U20" s="298" t="n"/>
      <c r="V20" s="299" t="n"/>
      <c r="W20" s="147" t="n"/>
    </row>
    <row r="21">
      <c r="A21" s="129">
        <f>B20</f>
        <v/>
      </c>
      <c r="B21" s="284" t="n">
        <v>1655</v>
      </c>
      <c r="C21" s="534" t="inlineStr">
        <is>
          <t>12-18%</t>
        </is>
      </c>
      <c r="D21" s="535" t="inlineStr">
        <is>
          <t>3-9%</t>
        </is>
      </c>
      <c r="E21" s="381" t="inlineStr">
        <is>
          <t>W dev calc stgs, incr coal, reduced ROP gamma intvls</t>
        </is>
      </c>
      <c r="F21" s="536" t="n"/>
      <c r="G21" s="536" t="n"/>
      <c r="H21" s="536" t="n"/>
      <c r="I21" s="536" t="n"/>
      <c r="J21" s="537" t="n"/>
      <c r="K21" s="384" t="n">
        <v>3</v>
      </c>
      <c r="L21" s="537" t="n"/>
      <c r="N21" s="133" t="n"/>
      <c r="Q21" s="284" t="n">
        <v>1600</v>
      </c>
      <c r="R21" s="284" t="n">
        <v>577.4</v>
      </c>
      <c r="S21" s="288" t="n">
        <v>111.5</v>
      </c>
      <c r="T21" s="297" t="n"/>
      <c r="U21" s="298" t="n"/>
      <c r="V21" s="299" t="n"/>
      <c r="W21" s="147" t="n"/>
    </row>
    <row r="22">
      <c r="A22" s="129">
        <f>B21</f>
        <v/>
      </c>
      <c r="B22" s="284" t="n">
        <v>1705</v>
      </c>
      <c r="C22" s="534" t="inlineStr">
        <is>
          <t>12-18%</t>
        </is>
      </c>
      <c r="D22" s="535" t="inlineStr">
        <is>
          <t>3-9%</t>
        </is>
      </c>
      <c r="E22" s="381" t="inlineStr">
        <is>
          <t>Good ROP, mod gas, locz calc cmt, rr coal frags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N22" s="133" t="n"/>
      <c r="Q22" s="284" t="n">
        <v>1700</v>
      </c>
      <c r="R22" s="284" t="n">
        <v>577.4</v>
      </c>
      <c r="S22" s="288" t="n">
        <v>111.5</v>
      </c>
      <c r="T22" s="297" t="n"/>
      <c r="U22" s="298" t="n"/>
      <c r="V22" s="299" t="n"/>
      <c r="W22" s="147" t="n"/>
    </row>
    <row r="23">
      <c r="A23" s="129">
        <f>B22</f>
        <v/>
      </c>
      <c r="B23" s="284" t="n">
        <v>1730</v>
      </c>
      <c r="C23" s="534" t="inlineStr">
        <is>
          <t>12-18%</t>
        </is>
      </c>
      <c r="D23" s="535" t="inlineStr">
        <is>
          <t>3-9%</t>
        </is>
      </c>
      <c r="E23" s="381" t="inlineStr">
        <is>
          <t>W dev calc stgs, incr coal, reduced ROP gamma intvls</t>
        </is>
      </c>
      <c r="F23" s="536" t="n"/>
      <c r="G23" s="536" t="n"/>
      <c r="H23" s="536" t="n"/>
      <c r="I23" s="536" t="n"/>
      <c r="J23" s="537" t="n"/>
      <c r="K23" s="384" t="n">
        <v>3</v>
      </c>
      <c r="L23" s="537" t="n"/>
      <c r="N23" s="133" t="n"/>
      <c r="Q23" s="284" t="n">
        <v>1800</v>
      </c>
      <c r="R23" s="284" t="n">
        <v>578.4</v>
      </c>
      <c r="S23" s="288" t="n">
        <v>110.5</v>
      </c>
      <c r="T23" s="297" t="n"/>
      <c r="U23" s="298" t="n"/>
      <c r="V23" s="299" t="n"/>
      <c r="W23" s="147" t="n"/>
    </row>
    <row r="24">
      <c r="A24" s="129">
        <f>B23</f>
        <v/>
      </c>
      <c r="B24" s="284" t="n">
        <v>1790</v>
      </c>
      <c r="C24" s="534" t="inlineStr">
        <is>
          <t>12-18%</t>
        </is>
      </c>
      <c r="D24" s="535" t="inlineStr">
        <is>
          <t>3-9%</t>
        </is>
      </c>
      <c r="E24" s="381" t="inlineStr">
        <is>
          <t>Good ROP, mod gas, locz calc cmt, rr coal frags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284" t="n">
        <v>1900</v>
      </c>
      <c r="R24" s="284" t="n">
        <v>579.9</v>
      </c>
      <c r="S24" s="288" t="n">
        <v>109</v>
      </c>
      <c r="T24" s="297" t="n"/>
      <c r="U24" s="298" t="n"/>
      <c r="V24" s="299" t="n"/>
      <c r="W24" s="147" t="n"/>
    </row>
    <row r="25">
      <c r="A25" s="129">
        <f>B24</f>
        <v/>
      </c>
      <c r="B25" s="284" t="n">
        <v>1840</v>
      </c>
      <c r="C25" s="534" t="n">
        <v>0.18</v>
      </c>
      <c r="D25" s="535" t="n">
        <v>0.12</v>
      </c>
      <c r="E25" s="381" t="inlineStr">
        <is>
          <t>Improving gas, gd ROP, tr coal, locz calc cmt stks</t>
        </is>
      </c>
      <c r="F25" s="536" t="n"/>
      <c r="G25" s="536" t="n"/>
      <c r="H25" s="536" t="n"/>
      <c r="I25" s="536" t="n"/>
      <c r="J25" s="537" t="n"/>
      <c r="K25" s="384" t="n">
        <v>4</v>
      </c>
      <c r="L25" s="537" t="n"/>
      <c r="N25" s="133" t="n"/>
      <c r="Q25" s="284" t="n">
        <v>2000</v>
      </c>
      <c r="R25" s="284" t="n">
        <v>579.9</v>
      </c>
      <c r="S25" s="288" t="n">
        <v>109</v>
      </c>
      <c r="T25" s="297" t="n"/>
      <c r="U25" s="298" t="n"/>
      <c r="V25" s="299" t="n"/>
      <c r="W25" s="147" t="n"/>
    </row>
    <row r="26">
      <c r="A26" s="129">
        <f>B25</f>
        <v/>
      </c>
      <c r="B26" s="284" t="n">
        <v>1920</v>
      </c>
      <c r="C26" s="534" t="inlineStr">
        <is>
          <t>12-18%</t>
        </is>
      </c>
      <c r="D26" s="535" t="inlineStr">
        <is>
          <t>3-9%</t>
        </is>
      </c>
      <c r="E26" s="381" t="inlineStr">
        <is>
          <t>Good ROP, mod gas, locz calc cmt, rr coal frags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284" t="n">
        <v>2100</v>
      </c>
      <c r="R26" s="284" t="n">
        <v>579.9</v>
      </c>
      <c r="S26" s="288" t="n">
        <v>109</v>
      </c>
      <c r="T26" s="297" t="n"/>
      <c r="U26" s="298" t="n"/>
      <c r="V26" s="299" t="n"/>
      <c r="W26" s="147" t="n"/>
    </row>
    <row r="27" ht="23.1" customHeight="1" s="220">
      <c r="A27" s="129">
        <f>B26</f>
        <v/>
      </c>
      <c r="B27" s="284" t="n">
        <v>2090</v>
      </c>
      <c r="C27" s="534" t="inlineStr">
        <is>
          <t>9-18%</t>
        </is>
      </c>
      <c r="D27" s="535" t="inlineStr">
        <is>
          <t>3-6%</t>
        </is>
      </c>
      <c r="E27" s="381" t="inlineStr">
        <is>
          <t>Good ROP, mod gas, mnr silt &amp; clay, gamma high 60's low 70's</t>
        </is>
      </c>
      <c r="F27" s="536" t="n"/>
      <c r="G27" s="536" t="n"/>
      <c r="H27" s="536" t="n"/>
      <c r="I27" s="536" t="n"/>
      <c r="J27" s="537" t="n"/>
      <c r="K27" s="384" t="n">
        <v>3</v>
      </c>
      <c r="L27" s="537" t="n"/>
      <c r="N27" s="133" t="n"/>
      <c r="Q27" s="284" t="n">
        <v>2200</v>
      </c>
      <c r="R27" s="284" t="n">
        <v>579.9</v>
      </c>
      <c r="S27" s="288" t="n">
        <v>109</v>
      </c>
      <c r="T27" s="297" t="n"/>
      <c r="U27" s="298" t="n"/>
      <c r="V27" s="299" t="n"/>
      <c r="W27" s="147" t="n"/>
    </row>
    <row r="28" ht="12.75" customHeight="1" s="220">
      <c r="A28" s="129">
        <f>B27</f>
        <v/>
      </c>
      <c r="B28" s="284" t="n">
        <v>2140</v>
      </c>
      <c r="C28" s="534" t="inlineStr">
        <is>
          <t>15-18</t>
        </is>
      </c>
      <c r="D28" s="535" t="inlineStr">
        <is>
          <t>3-9%</t>
        </is>
      </c>
      <c r="E28" s="381" t="inlineStr">
        <is>
          <t>Good ROP, inc gas 650-800u, gamma low-mid 60's</t>
        </is>
      </c>
      <c r="F28" s="536" t="n"/>
      <c r="G28" s="536" t="n"/>
      <c r="H28" s="536" t="n"/>
      <c r="I28" s="536" t="n"/>
      <c r="J28" s="537" t="n"/>
      <c r="K28" s="384" t="n">
        <v>4</v>
      </c>
      <c r="L28" s="537" t="n"/>
      <c r="N28" s="133" t="n"/>
      <c r="Q28" s="284" t="n">
        <v>2300</v>
      </c>
      <c r="R28" s="284" t="n">
        <v>579.9</v>
      </c>
      <c r="S28" s="288" t="n">
        <v>109</v>
      </c>
      <c r="T28" s="297" t="n"/>
      <c r="U28" s="298" t="n"/>
      <c r="V28" s="299" t="n"/>
      <c r="W28" s="147" t="n"/>
    </row>
    <row r="29">
      <c r="A29" s="129">
        <f>B28</f>
        <v/>
      </c>
      <c r="B29" s="284" t="n">
        <v>2155</v>
      </c>
      <c r="C29" s="534" t="inlineStr">
        <is>
          <t>9-18%</t>
        </is>
      </c>
      <c r="D29" s="535" t="inlineStr">
        <is>
          <t>3-6%</t>
        </is>
      </c>
      <c r="E29" s="381" t="inlineStr">
        <is>
          <t>Calc strns, reduced rop, dec gamma ~50api</t>
        </is>
      </c>
      <c r="F29" s="536" t="n"/>
      <c r="G29" s="536" t="n"/>
      <c r="H29" s="536" t="n"/>
      <c r="I29" s="536" t="n"/>
      <c r="J29" s="537" t="n"/>
      <c r="K29" s="384" t="n">
        <v>3</v>
      </c>
      <c r="L29" s="537" t="n"/>
      <c r="N29" s="133" t="n"/>
      <c r="Q29" s="284" t="n">
        <v>2400</v>
      </c>
      <c r="R29" s="284" t="n">
        <v>579.9</v>
      </c>
      <c r="S29" s="288" t="n">
        <v>109</v>
      </c>
      <c r="T29" s="297" t="n"/>
      <c r="U29" s="298" t="n"/>
      <c r="V29" s="299" t="n"/>
      <c r="W29" s="147" t="n"/>
    </row>
    <row r="30">
      <c r="A30" s="129">
        <f>B29</f>
        <v/>
      </c>
      <c r="B30" s="284" t="n">
        <v>2240</v>
      </c>
      <c r="C30" s="534" t="inlineStr">
        <is>
          <t>12-18%</t>
        </is>
      </c>
      <c r="D30" s="535" t="inlineStr">
        <is>
          <t>3-6%</t>
        </is>
      </c>
      <c r="E30" s="381" t="inlineStr">
        <is>
          <t>Good ROP, high gas &gt;700u, occ carb frag, gamma mid 60's</t>
        </is>
      </c>
      <c r="F30" s="536" t="n"/>
      <c r="G30" s="536" t="n"/>
      <c r="H30" s="536" t="n"/>
      <c r="I30" s="536" t="n"/>
      <c r="J30" s="537" t="n"/>
      <c r="K30" s="384" t="n">
        <v>4</v>
      </c>
      <c r="L30" s="537" t="n"/>
      <c r="N30" s="133" t="n"/>
      <c r="Q30" s="284" t="n">
        <v>2500</v>
      </c>
      <c r="R30" s="284" t="n">
        <v>579.9</v>
      </c>
      <c r="S30" s="285" t="n">
        <v>109</v>
      </c>
      <c r="T30" s="297" t="n"/>
      <c r="U30" s="298" t="n"/>
      <c r="V30" s="299" t="n"/>
      <c r="W30" s="147" t="n"/>
    </row>
    <row r="31" ht="20.45" customHeight="1" s="220">
      <c r="A31" s="129">
        <f>B30</f>
        <v/>
      </c>
      <c r="B31" s="284" t="n">
        <v>2330</v>
      </c>
      <c r="C31" s="534" t="inlineStr">
        <is>
          <t>12-18%</t>
        </is>
      </c>
      <c r="D31" s="535" t="inlineStr">
        <is>
          <t>3-6%</t>
        </is>
      </c>
      <c r="E31" s="381" t="inlineStr">
        <is>
          <t>Good ROP, mod gas ~600u, gamma mid-high 60's, 0.73m below target</t>
        </is>
      </c>
      <c r="F31" s="536" t="n"/>
      <c r="G31" s="536" t="n"/>
      <c r="H31" s="536" t="n"/>
      <c r="I31" s="536" t="n"/>
      <c r="J31" s="537" t="n"/>
      <c r="K31" s="384" t="n">
        <v>4</v>
      </c>
      <c r="L31" s="537" t="n"/>
      <c r="N31" s="133" t="n"/>
      <c r="Q31" s="284" t="n">
        <v>2600</v>
      </c>
      <c r="R31" s="284" t="n">
        <v>579.4</v>
      </c>
      <c r="S31" s="285" t="n">
        <v>109.5</v>
      </c>
      <c r="T31" s="297" t="n"/>
      <c r="U31" s="298" t="n"/>
      <c r="V31" s="299" t="n"/>
      <c r="W31" s="147" t="n"/>
    </row>
    <row r="32">
      <c r="A32" s="129">
        <f>B31</f>
        <v/>
      </c>
      <c r="B32" s="284" t="n">
        <v>2390</v>
      </c>
      <c r="C32" s="534" t="inlineStr">
        <is>
          <t>15-18%</t>
        </is>
      </c>
      <c r="D32" s="535" t="inlineStr">
        <is>
          <t>3-6%</t>
        </is>
      </c>
      <c r="E32" s="381" t="inlineStr">
        <is>
          <t>Inc gas, abndt qtz grns, mnr clay min,Gamma low-mid 60's</t>
        </is>
      </c>
      <c r="F32" s="536" t="n"/>
      <c r="G32" s="536" t="n"/>
      <c r="H32" s="536" t="n"/>
      <c r="I32" s="536" t="n"/>
      <c r="J32" s="537" t="n"/>
      <c r="K32" s="384" t="n">
        <v>4</v>
      </c>
      <c r="L32" s="537" t="n"/>
      <c r="N32" s="133" t="n"/>
      <c r="Q32" s="284" t="n">
        <v>2700</v>
      </c>
      <c r="R32" s="284" t="n">
        <v>578.9</v>
      </c>
      <c r="S32" s="285" t="n">
        <v>110</v>
      </c>
      <c r="T32" s="297" t="n"/>
      <c r="U32" s="298" t="n"/>
      <c r="V32" s="299" t="n"/>
      <c r="W32" s="147" t="n"/>
    </row>
    <row r="33" ht="20.45" customHeight="1" s="220">
      <c r="A33" s="129">
        <f>B32</f>
        <v/>
      </c>
      <c r="B33" s="284" t="n">
        <v>2560</v>
      </c>
      <c r="C33" s="534" t="inlineStr">
        <is>
          <t>15-18%</t>
        </is>
      </c>
      <c r="D33" s="535" t="inlineStr">
        <is>
          <t>3-6%</t>
        </is>
      </c>
      <c r="E33" s="381" t="inlineStr">
        <is>
          <t>Excellent rop, good gas ~600u avg, out of window @ 2545m MD</t>
        </is>
      </c>
      <c r="F33" s="536" t="n"/>
      <c r="G33" s="536" t="n"/>
      <c r="H33" s="536" t="n"/>
      <c r="I33" s="536" t="n"/>
      <c r="J33" s="537" t="n"/>
      <c r="K33" s="384" t="n">
        <v>4</v>
      </c>
      <c r="L33" s="537" t="n"/>
      <c r="N33" s="133" t="n"/>
      <c r="Q33" s="284" t="n">
        <v>2714</v>
      </c>
      <c r="R33" s="284" t="n">
        <v>578.9</v>
      </c>
      <c r="S33" s="285" t="n">
        <v>110</v>
      </c>
      <c r="T33" s="297" t="n"/>
      <c r="U33" s="298" t="n"/>
      <c r="V33" s="299" t="n"/>
      <c r="W33" s="147" t="n"/>
    </row>
    <row r="34" ht="21.95" customHeight="1" s="220">
      <c r="A34" s="129">
        <f>B33</f>
        <v/>
      </c>
      <c r="B34" s="284" t="n">
        <v>2707</v>
      </c>
      <c r="C34" s="534" t="inlineStr">
        <is>
          <t>15-18%</t>
        </is>
      </c>
      <c r="D34" s="535" t="inlineStr">
        <is>
          <t>3-6%</t>
        </is>
      </c>
      <c r="E34" s="381" t="inlineStr">
        <is>
          <t xml:space="preserve">Inc gas towards TD reached 993u. Gamma avg mid 60API occ low 70's. </t>
        </is>
      </c>
      <c r="F34" s="536" t="n"/>
      <c r="G34" s="536" t="n"/>
      <c r="H34" s="536" t="n"/>
      <c r="I34" s="536" t="n"/>
      <c r="J34" s="537" t="n"/>
      <c r="K34" s="384" t="n">
        <v>4</v>
      </c>
      <c r="L34" s="537" t="n"/>
      <c r="N34" s="133" t="n"/>
      <c r="Q34" s="284" t="n"/>
      <c r="R34" s="284" t="n"/>
      <c r="S34" s="285" t="n"/>
      <c r="T34" s="297" t="n"/>
      <c r="U34" s="298" t="n"/>
      <c r="V34" s="299" t="n"/>
      <c r="W34" s="147" t="n"/>
    </row>
    <row r="35">
      <c r="A35" s="389" t="inlineStr">
        <is>
          <t>Reservoir Quality / Representative Sample</t>
        </is>
      </c>
      <c r="B35" s="526" t="n"/>
      <c r="C35" s="526" t="n"/>
      <c r="D35" s="526" t="n"/>
      <c r="E35" s="526" t="n"/>
      <c r="F35" s="526" t="n"/>
      <c r="G35" s="526" t="n"/>
      <c r="H35" s="526" t="n"/>
      <c r="I35" s="526" t="n"/>
      <c r="J35" s="526" t="n"/>
      <c r="K35" s="526" t="n"/>
      <c r="L35" s="526" t="n"/>
    </row>
    <row r="36">
      <c r="A36" s="110" t="n">
        <v>5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110" t="n">
        <v>4</v>
      </c>
      <c r="B37" s="412" t="inlineStr">
        <is>
          <t>SS: lt gy-dull yel, predy uncons grns wi tr w cmtd aggs, locz wkly cmtd aggs, w srtd, lf-uf grnd, wi com uvf and rr lm, sa-sr, clr and fros qtz grns wi com lt-dk gy, wht &amp; off wht, blk cht, mnr arg stks, rr pyr, locz stks of abdnt calc cmt, mod-decr silt/clay resid, tr coal/carb frags, locz silty stgs, est 12-18% eff intgrn por, IA.</t>
        </is>
      </c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110" t="n">
        <v>3</v>
      </c>
      <c r="B38" s="412" t="inlineStr">
        <is>
          <t>SS: lt gy-dull yel, predy uncons grns wi com w cmtd aggs, locz wkly cmtd aggs, w srtd, lf-uf grnd, wi com uvf and rr lm, sa-sr, clr and fros qtz grns wi com lt-dk gy, wht &amp; off wht, blk cht, mnr arg stks, occ pyr, stks of abdnt calc cmt, mod silt/clay resid, com coal/carb stgs, locz silty stgs, est 12-15% eff intgrn por wi w dev 3-9% por stks, IA and stks of III.</t>
        </is>
      </c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 ht="12.75" customHeight="1" s="220">
      <c r="A39" s="110" t="n">
        <v>2</v>
      </c>
      <c r="B39" s="412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7" t="n"/>
    </row>
    <row r="40" ht="12.75" customHeight="1" s="220">
      <c r="A40" s="110" t="n">
        <v>1</v>
      </c>
      <c r="B40" s="412" t="n"/>
      <c r="C40" s="536" t="n"/>
      <c r="D40" s="536" t="n"/>
      <c r="E40" s="536" t="n"/>
      <c r="F40" s="536" t="n"/>
      <c r="G40" s="536" t="n"/>
      <c r="H40" s="536" t="n"/>
      <c r="I40" s="536" t="n"/>
      <c r="J40" s="536" t="n"/>
      <c r="K40" s="536" t="n"/>
      <c r="L40" s="537" t="n"/>
    </row>
    <row r="41" ht="12.75" customHeight="1" s="220">
      <c r="A41" s="110" t="n">
        <v>0</v>
      </c>
      <c r="B41" s="412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10" t="n"/>
      <c r="B42" s="526" t="n"/>
      <c r="C42" s="526" t="n"/>
      <c r="D42" s="526" t="n"/>
      <c r="E42" s="526" t="n"/>
      <c r="F42" s="526" t="n"/>
      <c r="G42" s="526" t="n"/>
      <c r="H42" s="526" t="n"/>
      <c r="I42" s="526" t="n"/>
      <c r="J42" s="526" t="n"/>
      <c r="K42" s="526" t="n"/>
      <c r="L42" s="526" t="n"/>
    </row>
    <row r="43" ht="12.75" customHeight="1" s="220">
      <c r="A43" s="407" t="inlineStr">
        <is>
          <t>Geologist Notes / Updates</t>
        </is>
      </c>
      <c r="B43" s="528" t="n"/>
      <c r="C43" s="528" t="n"/>
      <c r="D43" s="528" t="n"/>
      <c r="E43" s="528" t="n"/>
      <c r="F43" s="528" t="n"/>
      <c r="G43" s="528" t="n"/>
      <c r="H43" s="528" t="n"/>
      <c r="I43" s="528" t="n"/>
      <c r="J43" s="528" t="n"/>
      <c r="K43" s="528" t="n"/>
      <c r="L43" s="528" t="n"/>
    </row>
    <row r="44" ht="12.75" customHeight="1" s="220">
      <c r="A44" s="408" t="n"/>
      <c r="B44" s="225" t="n"/>
      <c r="C44" s="225" t="n"/>
      <c r="D44" s="225" t="n"/>
      <c r="E44" s="225" t="n"/>
      <c r="F44" s="225" t="n"/>
      <c r="G44" s="225" t="n"/>
      <c r="H44" s="225" t="n"/>
      <c r="I44" s="225" t="n"/>
      <c r="J44" s="225" t="n"/>
      <c r="K44" s="225" t="n"/>
      <c r="L44" s="225" t="n"/>
    </row>
    <row r="45">
      <c r="A45" s="409" t="n"/>
      <c r="B45" s="538" t="n"/>
      <c r="C45" s="538" t="n"/>
      <c r="D45" s="538" t="n"/>
      <c r="E45" s="538" t="n"/>
      <c r="F45" s="538" t="n"/>
      <c r="G45" s="538" t="n"/>
      <c r="H45" s="538" t="n"/>
      <c r="I45" s="538" t="n"/>
      <c r="J45" s="538" t="n"/>
      <c r="K45" s="538" t="n"/>
      <c r="L45" s="539" t="n"/>
    </row>
    <row r="46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 ht="12.75" customHeight="1" s="220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 ht="12.75" customHeight="1" s="220">
      <c r="A48" s="405" t="n"/>
      <c r="B48" s="536" t="n"/>
      <c r="C48" s="536" t="n"/>
      <c r="D48" s="536" t="n"/>
      <c r="E48" s="536" t="n"/>
      <c r="F48" s="536" t="n"/>
      <c r="G48" s="536" t="n"/>
      <c r="H48" s="536" t="n"/>
      <c r="I48" s="536" t="n"/>
      <c r="J48" s="536" t="n"/>
      <c r="K48" s="536" t="n"/>
      <c r="L48" s="537" t="n"/>
    </row>
    <row r="49" ht="12.75" customHeight="1" s="220">
      <c r="A49" s="405" t="n"/>
      <c r="B49" s="536" t="n"/>
      <c r="C49" s="536" t="n"/>
      <c r="D49" s="536" t="n"/>
      <c r="E49" s="536" t="n"/>
      <c r="F49" s="536" t="n"/>
      <c r="G49" s="536" t="n"/>
      <c r="H49" s="536" t="n"/>
      <c r="I49" s="536" t="n"/>
      <c r="J49" s="536" t="n"/>
      <c r="K49" s="536" t="n"/>
      <c r="L49" s="537" t="n"/>
    </row>
    <row r="50" ht="12.75" customHeight="1" s="220">
      <c r="A50" s="406" t="n"/>
      <c r="B50" s="225" t="n"/>
      <c r="C50" s="225" t="n"/>
      <c r="D50" s="225" t="n"/>
      <c r="E50" s="225" t="n"/>
      <c r="F50" s="225" t="n"/>
      <c r="G50" s="225" t="n"/>
      <c r="H50" s="225" t="n"/>
      <c r="I50" s="225" t="n"/>
      <c r="J50" s="225" t="n"/>
      <c r="K50" s="225" t="n"/>
      <c r="L50" s="225" t="n"/>
    </row>
    <row r="51" ht="12.75" customHeight="1" s="220"/>
    <row r="52" ht="12.75" customHeight="1" s="220"/>
    <row r="53" ht="12.75" customHeight="1" s="220"/>
    <row r="54" ht="12.75" customHeight="1" s="220"/>
  </sheetData>
  <mergeCells count="82">
    <mergeCell ref="A42:L42"/>
    <mergeCell ref="B41:L41"/>
    <mergeCell ref="A35:L35"/>
    <mergeCell ref="B36:L36"/>
    <mergeCell ref="B37:L37"/>
    <mergeCell ref="B38:L38"/>
    <mergeCell ref="B39:L39"/>
    <mergeCell ref="B40:L40"/>
    <mergeCell ref="E22:J22"/>
    <mergeCell ref="K24:L24"/>
    <mergeCell ref="E23:J23"/>
    <mergeCell ref="K23:L23"/>
    <mergeCell ref="K21:L21"/>
    <mergeCell ref="K22:L22"/>
    <mergeCell ref="K19:L19"/>
    <mergeCell ref="E20:J20"/>
    <mergeCell ref="K20:L20"/>
    <mergeCell ref="E19:J19"/>
    <mergeCell ref="E21:J21"/>
    <mergeCell ref="A48:L48"/>
    <mergeCell ref="A49:L49"/>
    <mergeCell ref="A50:L50"/>
    <mergeCell ref="A43:L43"/>
    <mergeCell ref="A44:L44"/>
    <mergeCell ref="A45:L45"/>
    <mergeCell ref="A46:L46"/>
    <mergeCell ref="A47:L47"/>
    <mergeCell ref="K18:L18"/>
    <mergeCell ref="E16:J16"/>
    <mergeCell ref="E17:J17"/>
    <mergeCell ref="Q7:V7"/>
    <mergeCell ref="Q8:S8"/>
    <mergeCell ref="T8:V8"/>
    <mergeCell ref="E18:J18"/>
    <mergeCell ref="K15:L15"/>
    <mergeCell ref="K17:L17"/>
    <mergeCell ref="E14:J14"/>
    <mergeCell ref="K13:L13"/>
    <mergeCell ref="K14:L14"/>
    <mergeCell ref="E15:J15"/>
    <mergeCell ref="E13:J13"/>
    <mergeCell ref="K16:L16"/>
    <mergeCell ref="A2:L2"/>
    <mergeCell ref="A6:L6"/>
    <mergeCell ref="K10:L10"/>
    <mergeCell ref="K11:L11"/>
    <mergeCell ref="K12:L12"/>
    <mergeCell ref="A7:L7"/>
    <mergeCell ref="A8:B8"/>
    <mergeCell ref="C8:D8"/>
    <mergeCell ref="E8:J8"/>
    <mergeCell ref="K8:L8"/>
    <mergeCell ref="E9:J9"/>
    <mergeCell ref="E10:J10"/>
    <mergeCell ref="K9:L9"/>
    <mergeCell ref="A5:L5"/>
    <mergeCell ref="E34:J34"/>
    <mergeCell ref="K34:L34"/>
    <mergeCell ref="E31:J31"/>
    <mergeCell ref="E32:J32"/>
    <mergeCell ref="K31:L31"/>
    <mergeCell ref="E30:J30"/>
    <mergeCell ref="K30:L30"/>
    <mergeCell ref="K32:L32"/>
    <mergeCell ref="E33:J33"/>
    <mergeCell ref="K33:L33"/>
    <mergeCell ref="A1:L1"/>
    <mergeCell ref="E26:J26"/>
    <mergeCell ref="K26:L26"/>
    <mergeCell ref="E29:J29"/>
    <mergeCell ref="K29:L29"/>
    <mergeCell ref="E28:J28"/>
    <mergeCell ref="K28:L28"/>
    <mergeCell ref="E27:J27"/>
    <mergeCell ref="K27:L27"/>
    <mergeCell ref="E25:J25"/>
    <mergeCell ref="K25:L25"/>
    <mergeCell ref="E24:J24"/>
    <mergeCell ref="E11:J11"/>
    <mergeCell ref="E12:J12"/>
    <mergeCell ref="A3:L3"/>
    <mergeCell ref="A4:L4"/>
  </mergeCells>
  <conditionalFormatting sqref="A36:A41">
    <cfRule type="containsText" priority="913" operator="containsText" dxfId="6" stopIfTrue="1" text="0">
      <formula>NOT(ISERROR(SEARCH("0",A36)))</formula>
    </cfRule>
    <cfRule type="containsText" priority="914" operator="containsText" dxfId="5" stopIfTrue="1" text="1">
      <formula>NOT(ISERROR(SEARCH("1",A36)))</formula>
    </cfRule>
    <cfRule type="containsText" priority="915" operator="containsText" dxfId="4" stopIfTrue="1" text="2">
      <formula>NOT(ISERROR(SEARCH("2",A36)))</formula>
    </cfRule>
    <cfRule type="containsText" priority="916" operator="containsText" dxfId="3" stopIfTrue="1" text="3">
      <formula>NOT(ISERROR(SEARCH("3",A36)))</formula>
    </cfRule>
    <cfRule type="containsText" priority="917" operator="containsText" dxfId="2" stopIfTrue="1" text="4">
      <formula>NOT(ISERROR(SEARCH("4",A36)))</formula>
    </cfRule>
    <cfRule type="containsText" priority="918" operator="containsText" dxfId="1" stopIfTrue="1" text="5">
      <formula>NOT(ISERROR(SEARCH("5",A36)))</formula>
    </cfRule>
  </conditionalFormatting>
  <conditionalFormatting sqref="K11:L11">
    <cfRule type="containsText" priority="277" operator="containsText" dxfId="6" stopIfTrue="1" text="0">
      <formula>NOT(ISERROR(SEARCH("0",K11)))</formula>
    </cfRule>
    <cfRule type="containsText" priority="278" operator="containsText" dxfId="5" stopIfTrue="1" text="1">
      <formula>NOT(ISERROR(SEARCH("1",K11)))</formula>
    </cfRule>
    <cfRule type="containsText" priority="279" operator="containsText" dxfId="4" stopIfTrue="1" text="2">
      <formula>NOT(ISERROR(SEARCH("2",K11)))</formula>
    </cfRule>
    <cfRule type="containsText" priority="280" operator="containsText" dxfId="3" stopIfTrue="1" text="3">
      <formula>NOT(ISERROR(SEARCH("3",K11)))</formula>
    </cfRule>
    <cfRule type="containsText" priority="281" operator="containsText" dxfId="2" stopIfTrue="1" text="4">
      <formula>NOT(ISERROR(SEARCH("4",K11)))</formula>
    </cfRule>
    <cfRule type="containsText" priority="282" operator="containsText" dxfId="1" stopIfTrue="1" text="5">
      <formula>NOT(ISERROR(SEARCH("5",K11)))</formula>
    </cfRule>
  </conditionalFormatting>
  <conditionalFormatting sqref="K21:L21">
    <cfRule type="containsText" priority="211" operator="containsText" dxfId="6" stopIfTrue="1" text="0">
      <formula>NOT(ISERROR(SEARCH("0",K21)))</formula>
    </cfRule>
    <cfRule type="containsText" priority="212" operator="containsText" dxfId="5" stopIfTrue="1" text="1">
      <formula>NOT(ISERROR(SEARCH("1",K21)))</formula>
    </cfRule>
    <cfRule type="containsText" priority="213" operator="containsText" dxfId="4" stopIfTrue="1" text="2">
      <formula>NOT(ISERROR(SEARCH("2",K21)))</formula>
    </cfRule>
    <cfRule type="containsText" priority="214" operator="containsText" dxfId="3" stopIfTrue="1" text="3">
      <formula>NOT(ISERROR(SEARCH("3",K21)))</formula>
    </cfRule>
    <cfRule type="containsText" priority="215" operator="containsText" dxfId="2" stopIfTrue="1" text="4">
      <formula>NOT(ISERROR(SEARCH("4",K21)))</formula>
    </cfRule>
    <cfRule type="containsText" priority="216" operator="containsText" dxfId="1" stopIfTrue="1" text="5">
      <formula>NOT(ISERROR(SEARCH("5",K21)))</formula>
    </cfRule>
  </conditionalFormatting>
  <conditionalFormatting sqref="K13:L13">
    <cfRule type="containsText" priority="193" operator="containsText" dxfId="6" stopIfTrue="1" text="0">
      <formula>NOT(ISERROR(SEARCH("0",K13)))</formula>
    </cfRule>
    <cfRule type="containsText" priority="194" operator="containsText" dxfId="5" stopIfTrue="1" text="1">
      <formula>NOT(ISERROR(SEARCH("1",K13)))</formula>
    </cfRule>
    <cfRule type="containsText" priority="195" operator="containsText" dxfId="4" stopIfTrue="1" text="2">
      <formula>NOT(ISERROR(SEARCH("2",K13)))</formula>
    </cfRule>
    <cfRule type="containsText" priority="196" operator="containsText" dxfId="3" stopIfTrue="1" text="3">
      <formula>NOT(ISERROR(SEARCH("3",K13)))</formula>
    </cfRule>
    <cfRule type="containsText" priority="197" operator="containsText" dxfId="2" stopIfTrue="1" text="4">
      <formula>NOT(ISERROR(SEARCH("4",K13)))</formula>
    </cfRule>
    <cfRule type="containsText" priority="198" operator="containsText" dxfId="1" stopIfTrue="1" text="5">
      <formula>NOT(ISERROR(SEARCH("5",K13)))</formula>
    </cfRule>
  </conditionalFormatting>
  <conditionalFormatting sqref="K27:L27">
    <cfRule type="containsText" priority="175" operator="containsText" dxfId="6" stopIfTrue="1" text="0">
      <formula>NOT(ISERROR(SEARCH("0",K27)))</formula>
    </cfRule>
    <cfRule type="containsText" priority="176" operator="containsText" dxfId="5" stopIfTrue="1" text="1">
      <formula>NOT(ISERROR(SEARCH("1",K27)))</formula>
    </cfRule>
    <cfRule type="containsText" priority="177" operator="containsText" dxfId="4" stopIfTrue="1" text="2">
      <formula>NOT(ISERROR(SEARCH("2",K27)))</formula>
    </cfRule>
    <cfRule type="containsText" priority="178" operator="containsText" dxfId="3" stopIfTrue="1" text="3">
      <formula>NOT(ISERROR(SEARCH("3",K27)))</formula>
    </cfRule>
    <cfRule type="containsText" priority="179" operator="containsText" dxfId="2" stopIfTrue="1" text="4">
      <formula>NOT(ISERROR(SEARCH("4",K27)))</formula>
    </cfRule>
    <cfRule type="containsText" priority="180" operator="containsText" dxfId="1" stopIfTrue="1" text="5">
      <formula>NOT(ISERROR(SEARCH("5",K27)))</formula>
    </cfRule>
  </conditionalFormatting>
  <conditionalFormatting sqref="K28:L28">
    <cfRule type="containsText" priority="163" operator="containsText" dxfId="6" stopIfTrue="1" text="0">
      <formula>NOT(ISERROR(SEARCH("0",K28)))</formula>
    </cfRule>
    <cfRule type="containsText" priority="164" operator="containsText" dxfId="5" stopIfTrue="1" text="1">
      <formula>NOT(ISERROR(SEARCH("1",K28)))</formula>
    </cfRule>
    <cfRule type="containsText" priority="165" operator="containsText" dxfId="4" stopIfTrue="1" text="2">
      <formula>NOT(ISERROR(SEARCH("2",K28)))</formula>
    </cfRule>
    <cfRule type="containsText" priority="166" operator="containsText" dxfId="3" stopIfTrue="1" text="3">
      <formula>NOT(ISERROR(SEARCH("3",K28)))</formula>
    </cfRule>
    <cfRule type="containsText" priority="167" operator="containsText" dxfId="2" stopIfTrue="1" text="4">
      <formula>NOT(ISERROR(SEARCH("4",K28)))</formula>
    </cfRule>
    <cfRule type="containsText" priority="168" operator="containsText" dxfId="1" stopIfTrue="1" text="5">
      <formula>NOT(ISERROR(SEARCH("5",K28)))</formula>
    </cfRule>
  </conditionalFormatting>
  <conditionalFormatting sqref="K29:L29">
    <cfRule type="containsText" priority="157" operator="containsText" dxfId="6" stopIfTrue="1" text="0">
      <formula>NOT(ISERROR(SEARCH("0",K29)))</formula>
    </cfRule>
    <cfRule type="containsText" priority="158" operator="containsText" dxfId="5" stopIfTrue="1" text="1">
      <formula>NOT(ISERROR(SEARCH("1",K29)))</formula>
    </cfRule>
    <cfRule type="containsText" priority="159" operator="containsText" dxfId="4" stopIfTrue="1" text="2">
      <formula>NOT(ISERROR(SEARCH("2",K29)))</formula>
    </cfRule>
    <cfRule type="containsText" priority="160" operator="containsText" dxfId="3" stopIfTrue="1" text="3">
      <formula>NOT(ISERROR(SEARCH("3",K29)))</formula>
    </cfRule>
    <cfRule type="containsText" priority="161" operator="containsText" dxfId="2" stopIfTrue="1" text="4">
      <formula>NOT(ISERROR(SEARCH("4",K29)))</formula>
    </cfRule>
    <cfRule type="containsText" priority="162" operator="containsText" dxfId="1" stopIfTrue="1" text="5">
      <formula>NOT(ISERROR(SEARCH("5",K29)))</formula>
    </cfRule>
  </conditionalFormatting>
  <conditionalFormatting sqref="K30:L30">
    <cfRule type="containsText" priority="151" operator="containsText" dxfId="6" stopIfTrue="1" text="0">
      <formula>NOT(ISERROR(SEARCH("0",K30)))</formula>
    </cfRule>
    <cfRule type="containsText" priority="152" operator="containsText" dxfId="5" stopIfTrue="1" text="1">
      <formula>NOT(ISERROR(SEARCH("1",K30)))</formula>
    </cfRule>
    <cfRule type="containsText" priority="153" operator="containsText" dxfId="4" stopIfTrue="1" text="2">
      <formula>NOT(ISERROR(SEARCH("2",K30)))</formula>
    </cfRule>
    <cfRule type="containsText" priority="154" operator="containsText" dxfId="3" stopIfTrue="1" text="3">
      <formula>NOT(ISERROR(SEARCH("3",K30)))</formula>
    </cfRule>
    <cfRule type="containsText" priority="155" operator="containsText" dxfId="2" stopIfTrue="1" text="4">
      <formula>NOT(ISERROR(SEARCH("4",K30)))</formula>
    </cfRule>
    <cfRule type="containsText" priority="156" operator="containsText" dxfId="1" stopIfTrue="1" text="5">
      <formula>NOT(ISERROR(SEARCH("5",K30)))</formula>
    </cfRule>
  </conditionalFormatting>
  <conditionalFormatting sqref="K31:L31">
    <cfRule type="containsText" priority="145" operator="containsText" dxfId="6" stopIfTrue="1" text="0">
      <formula>NOT(ISERROR(SEARCH("0",K31)))</formula>
    </cfRule>
    <cfRule type="containsText" priority="146" operator="containsText" dxfId="5" stopIfTrue="1" text="1">
      <formula>NOT(ISERROR(SEARCH("1",K31)))</formula>
    </cfRule>
    <cfRule type="containsText" priority="147" operator="containsText" dxfId="4" stopIfTrue="1" text="2">
      <formula>NOT(ISERROR(SEARCH("2",K31)))</formula>
    </cfRule>
    <cfRule type="containsText" priority="148" operator="containsText" dxfId="3" stopIfTrue="1" text="3">
      <formula>NOT(ISERROR(SEARCH("3",K31)))</formula>
    </cfRule>
    <cfRule type="containsText" priority="149" operator="containsText" dxfId="2" stopIfTrue="1" text="4">
      <formula>NOT(ISERROR(SEARCH("4",K31)))</formula>
    </cfRule>
    <cfRule type="containsText" priority="150" operator="containsText" dxfId="1" stopIfTrue="1" text="5">
      <formula>NOT(ISERROR(SEARCH("5",K31)))</formula>
    </cfRule>
  </conditionalFormatting>
  <conditionalFormatting sqref="K32:L32">
    <cfRule type="containsText" priority="139" operator="containsText" dxfId="6" stopIfTrue="1" text="0">
      <formula>NOT(ISERROR(SEARCH("0",K32)))</formula>
    </cfRule>
    <cfRule type="containsText" priority="140" operator="containsText" dxfId="5" stopIfTrue="1" text="1">
      <formula>NOT(ISERROR(SEARCH("1",K32)))</formula>
    </cfRule>
    <cfRule type="containsText" priority="141" operator="containsText" dxfId="4" stopIfTrue="1" text="2">
      <formula>NOT(ISERROR(SEARCH("2",K32)))</formula>
    </cfRule>
    <cfRule type="containsText" priority="142" operator="containsText" dxfId="3" stopIfTrue="1" text="3">
      <formula>NOT(ISERROR(SEARCH("3",K32)))</formula>
    </cfRule>
    <cfRule type="containsText" priority="143" operator="containsText" dxfId="2" stopIfTrue="1" text="4">
      <formula>NOT(ISERROR(SEARCH("4",K32)))</formula>
    </cfRule>
    <cfRule type="containsText" priority="144" operator="containsText" dxfId="1" stopIfTrue="1" text="5">
      <formula>NOT(ISERROR(SEARCH("5",K32)))</formula>
    </cfRule>
  </conditionalFormatting>
  <conditionalFormatting sqref="K10:L10">
    <cfRule type="containsText" priority="127" operator="containsText" dxfId="6" stopIfTrue="1" text="0">
      <formula>NOT(ISERROR(SEARCH("0",K10)))</formula>
    </cfRule>
    <cfRule type="containsText" priority="128" operator="containsText" dxfId="5" stopIfTrue="1" text="1">
      <formula>NOT(ISERROR(SEARCH("1",K10)))</formula>
    </cfRule>
    <cfRule type="containsText" priority="129" operator="containsText" dxfId="4" stopIfTrue="1" text="2">
      <formula>NOT(ISERROR(SEARCH("2",K10)))</formula>
    </cfRule>
    <cfRule type="containsText" priority="130" operator="containsText" dxfId="3" stopIfTrue="1" text="3">
      <formula>NOT(ISERROR(SEARCH("3",K10)))</formula>
    </cfRule>
    <cfRule type="containsText" priority="131" operator="containsText" dxfId="2" stopIfTrue="1" text="4">
      <formula>NOT(ISERROR(SEARCH("4",K10)))</formula>
    </cfRule>
    <cfRule type="containsText" priority="132" operator="containsText" dxfId="1" stopIfTrue="1" text="5">
      <formula>NOT(ISERROR(SEARCH("5",K10)))</formula>
    </cfRule>
  </conditionalFormatting>
  <conditionalFormatting sqref="K12:L12">
    <cfRule type="containsText" priority="121" operator="containsText" dxfId="6" stopIfTrue="1" text="0">
      <formula>NOT(ISERROR(SEARCH("0",K12)))</formula>
    </cfRule>
    <cfRule type="containsText" priority="122" operator="containsText" dxfId="5" stopIfTrue="1" text="1">
      <formula>NOT(ISERROR(SEARCH("1",K12)))</formula>
    </cfRule>
    <cfRule type="containsText" priority="123" operator="containsText" dxfId="4" stopIfTrue="1" text="2">
      <formula>NOT(ISERROR(SEARCH("2",K12)))</formula>
    </cfRule>
    <cfRule type="containsText" priority="124" operator="containsText" dxfId="3" stopIfTrue="1" text="3">
      <formula>NOT(ISERROR(SEARCH("3",K12)))</formula>
    </cfRule>
    <cfRule type="containsText" priority="125" operator="containsText" dxfId="2" stopIfTrue="1" text="4">
      <formula>NOT(ISERROR(SEARCH("4",K12)))</formula>
    </cfRule>
    <cfRule type="containsText" priority="126" operator="containsText" dxfId="1" stopIfTrue="1" text="5">
      <formula>NOT(ISERROR(SEARCH("5",K12)))</formula>
    </cfRule>
  </conditionalFormatting>
  <conditionalFormatting sqref="K14:L14">
    <cfRule type="containsText" priority="115" operator="containsText" dxfId="6" stopIfTrue="1" text="0">
      <formula>NOT(ISERROR(SEARCH("0",K14)))</formula>
    </cfRule>
    <cfRule type="containsText" priority="116" operator="containsText" dxfId="5" stopIfTrue="1" text="1">
      <formula>NOT(ISERROR(SEARCH("1",K14)))</formula>
    </cfRule>
    <cfRule type="containsText" priority="117" operator="containsText" dxfId="4" stopIfTrue="1" text="2">
      <formula>NOT(ISERROR(SEARCH("2",K14)))</formula>
    </cfRule>
    <cfRule type="containsText" priority="118" operator="containsText" dxfId="3" stopIfTrue="1" text="3">
      <formula>NOT(ISERROR(SEARCH("3",K14)))</formula>
    </cfRule>
    <cfRule type="containsText" priority="119" operator="containsText" dxfId="2" stopIfTrue="1" text="4">
      <formula>NOT(ISERROR(SEARCH("4",K14)))</formula>
    </cfRule>
    <cfRule type="containsText" priority="120" operator="containsText" dxfId="1" stopIfTrue="1" text="5">
      <formula>NOT(ISERROR(SEARCH("5",K14)))</formula>
    </cfRule>
  </conditionalFormatting>
  <conditionalFormatting sqref="K15:L15">
    <cfRule type="containsText" priority="109" operator="containsText" dxfId="6" stopIfTrue="1" text="0">
      <formula>NOT(ISERROR(SEARCH("0",K15)))</formula>
    </cfRule>
    <cfRule type="containsText" priority="110" operator="containsText" dxfId="5" stopIfTrue="1" text="1">
      <formula>NOT(ISERROR(SEARCH("1",K15)))</formula>
    </cfRule>
    <cfRule type="containsText" priority="111" operator="containsText" dxfId="4" stopIfTrue="1" text="2">
      <formula>NOT(ISERROR(SEARCH("2",K15)))</formula>
    </cfRule>
    <cfRule type="containsText" priority="112" operator="containsText" dxfId="3" stopIfTrue="1" text="3">
      <formula>NOT(ISERROR(SEARCH("3",K15)))</formula>
    </cfRule>
    <cfRule type="containsText" priority="113" operator="containsText" dxfId="2" stopIfTrue="1" text="4">
      <formula>NOT(ISERROR(SEARCH("4",K15)))</formula>
    </cfRule>
    <cfRule type="containsText" priority="114" operator="containsText" dxfId="1" stopIfTrue="1" text="5">
      <formula>NOT(ISERROR(SEARCH("5",K15)))</formula>
    </cfRule>
  </conditionalFormatting>
  <conditionalFormatting sqref="K16:L16">
    <cfRule type="containsText" priority="103" operator="containsText" dxfId="6" stopIfTrue="1" text="0">
      <formula>NOT(ISERROR(SEARCH("0",K16)))</formula>
    </cfRule>
    <cfRule type="containsText" priority="104" operator="containsText" dxfId="5" stopIfTrue="1" text="1">
      <formula>NOT(ISERROR(SEARCH("1",K16)))</formula>
    </cfRule>
    <cfRule type="containsText" priority="105" operator="containsText" dxfId="4" stopIfTrue="1" text="2">
      <formula>NOT(ISERROR(SEARCH("2",K16)))</formula>
    </cfRule>
    <cfRule type="containsText" priority="106" operator="containsText" dxfId="3" stopIfTrue="1" text="3">
      <formula>NOT(ISERROR(SEARCH("3",K16)))</formula>
    </cfRule>
    <cfRule type="containsText" priority="107" operator="containsText" dxfId="2" stopIfTrue="1" text="4">
      <formula>NOT(ISERROR(SEARCH("4",K16)))</formula>
    </cfRule>
    <cfRule type="containsText" priority="108" operator="containsText" dxfId="1" stopIfTrue="1" text="5">
      <formula>NOT(ISERROR(SEARCH("5",K16)))</formula>
    </cfRule>
  </conditionalFormatting>
  <conditionalFormatting sqref="K17:L17">
    <cfRule type="containsText" priority="97" operator="containsText" dxfId="6" stopIfTrue="1" text="0">
      <formula>NOT(ISERROR(SEARCH("0",K17)))</formula>
    </cfRule>
    <cfRule type="containsText" priority="98" operator="containsText" dxfId="5" stopIfTrue="1" text="1">
      <formula>NOT(ISERROR(SEARCH("1",K17)))</formula>
    </cfRule>
    <cfRule type="containsText" priority="99" operator="containsText" dxfId="4" stopIfTrue="1" text="2">
      <formula>NOT(ISERROR(SEARCH("2",K17)))</formula>
    </cfRule>
    <cfRule type="containsText" priority="100" operator="containsText" dxfId="3" stopIfTrue="1" text="3">
      <formula>NOT(ISERROR(SEARCH("3",K17)))</formula>
    </cfRule>
    <cfRule type="containsText" priority="101" operator="containsText" dxfId="2" stopIfTrue="1" text="4">
      <formula>NOT(ISERROR(SEARCH("4",K17)))</formula>
    </cfRule>
    <cfRule type="containsText" priority="102" operator="containsText" dxfId="1" stopIfTrue="1" text="5">
      <formula>NOT(ISERROR(SEARCH("5",K17)))</formula>
    </cfRule>
  </conditionalFormatting>
  <conditionalFormatting sqref="K33:L33">
    <cfRule type="containsText" priority="73" operator="containsText" dxfId="6" stopIfTrue="1" text="0">
      <formula>NOT(ISERROR(SEARCH("0",K33)))</formula>
    </cfRule>
    <cfRule type="containsText" priority="74" operator="containsText" dxfId="5" stopIfTrue="1" text="1">
      <formula>NOT(ISERROR(SEARCH("1",K33)))</formula>
    </cfRule>
    <cfRule type="containsText" priority="75" operator="containsText" dxfId="4" stopIfTrue="1" text="2">
      <formula>NOT(ISERROR(SEARCH("2",K33)))</formula>
    </cfRule>
    <cfRule type="containsText" priority="76" operator="containsText" dxfId="3" stopIfTrue="1" text="3">
      <formula>NOT(ISERROR(SEARCH("3",K33)))</formula>
    </cfRule>
    <cfRule type="containsText" priority="77" operator="containsText" dxfId="2" stopIfTrue="1" text="4">
      <formula>NOT(ISERROR(SEARCH("4",K33)))</formula>
    </cfRule>
    <cfRule type="containsText" priority="78" operator="containsText" dxfId="1" stopIfTrue="1" text="5">
      <formula>NOT(ISERROR(SEARCH("5",K33)))</formula>
    </cfRule>
  </conditionalFormatting>
  <conditionalFormatting sqref="K34:L34">
    <cfRule type="containsText" priority="55" operator="containsText" dxfId="6" stopIfTrue="1" text="0">
      <formula>NOT(ISERROR(SEARCH("0",K34)))</formula>
    </cfRule>
    <cfRule type="containsText" priority="56" operator="containsText" dxfId="5" stopIfTrue="1" text="1">
      <formula>NOT(ISERROR(SEARCH("1",K34)))</formula>
    </cfRule>
    <cfRule type="containsText" priority="57" operator="containsText" dxfId="4" stopIfTrue="1" text="2">
      <formula>NOT(ISERROR(SEARCH("2",K34)))</formula>
    </cfRule>
    <cfRule type="containsText" priority="58" operator="containsText" dxfId="3" stopIfTrue="1" text="3">
      <formula>NOT(ISERROR(SEARCH("3",K34)))</formula>
    </cfRule>
    <cfRule type="containsText" priority="59" operator="containsText" dxfId="2" stopIfTrue="1" text="4">
      <formula>NOT(ISERROR(SEARCH("4",K34)))</formula>
    </cfRule>
    <cfRule type="containsText" priority="60" operator="containsText" dxfId="1" stopIfTrue="1" text="5">
      <formula>NOT(ISERROR(SEARCH("5",K34)))</formula>
    </cfRule>
  </conditionalFormatting>
  <conditionalFormatting sqref="K18:L18">
    <cfRule type="containsText" priority="49" operator="containsText" dxfId="6" stopIfTrue="1" text="0">
      <formula>NOT(ISERROR(SEARCH("0",K18)))</formula>
    </cfRule>
    <cfRule type="containsText" priority="50" operator="containsText" dxfId="5" stopIfTrue="1" text="1">
      <formula>NOT(ISERROR(SEARCH("1",K18)))</formula>
    </cfRule>
    <cfRule type="containsText" priority="51" operator="containsText" dxfId="4" stopIfTrue="1" text="2">
      <formula>NOT(ISERROR(SEARCH("2",K18)))</formula>
    </cfRule>
    <cfRule type="containsText" priority="52" operator="containsText" dxfId="3" stopIfTrue="1" text="3">
      <formula>NOT(ISERROR(SEARCH("3",K18)))</formula>
    </cfRule>
    <cfRule type="containsText" priority="53" operator="containsText" dxfId="2" stopIfTrue="1" text="4">
      <formula>NOT(ISERROR(SEARCH("4",K18)))</formula>
    </cfRule>
    <cfRule type="containsText" priority="54" operator="containsText" dxfId="1" stopIfTrue="1" text="5">
      <formula>NOT(ISERROR(SEARCH("5",K18)))</formula>
    </cfRule>
  </conditionalFormatting>
  <conditionalFormatting sqref="K19:L19">
    <cfRule type="containsText" priority="37" operator="containsText" dxfId="6" stopIfTrue="1" text="0">
      <formula>NOT(ISERROR(SEARCH("0",K19)))</formula>
    </cfRule>
    <cfRule type="containsText" priority="38" operator="containsText" dxfId="5" stopIfTrue="1" text="1">
      <formula>NOT(ISERROR(SEARCH("1",K19)))</formula>
    </cfRule>
    <cfRule type="containsText" priority="39" operator="containsText" dxfId="4" stopIfTrue="1" text="2">
      <formula>NOT(ISERROR(SEARCH("2",K19)))</formula>
    </cfRule>
    <cfRule type="containsText" priority="40" operator="containsText" dxfId="3" stopIfTrue="1" text="3">
      <formula>NOT(ISERROR(SEARCH("3",K19)))</formula>
    </cfRule>
    <cfRule type="containsText" priority="41" operator="containsText" dxfId="2" stopIfTrue="1" text="4">
      <formula>NOT(ISERROR(SEARCH("4",K19)))</formula>
    </cfRule>
    <cfRule type="containsText" priority="42" operator="containsText" dxfId="1" stopIfTrue="1" text="5">
      <formula>NOT(ISERROR(SEARCH("5",K19)))</formula>
    </cfRule>
  </conditionalFormatting>
  <conditionalFormatting sqref="K20:L20">
    <cfRule type="containsText" priority="31" operator="containsText" dxfId="6" stopIfTrue="1" text="0">
      <formula>NOT(ISERROR(SEARCH("0",K20)))</formula>
    </cfRule>
    <cfRule type="containsText" priority="32" operator="containsText" dxfId="5" stopIfTrue="1" text="1">
      <formula>NOT(ISERROR(SEARCH("1",K20)))</formula>
    </cfRule>
    <cfRule type="containsText" priority="33" operator="containsText" dxfId="4" stopIfTrue="1" text="2">
      <formula>NOT(ISERROR(SEARCH("2",K20)))</formula>
    </cfRule>
    <cfRule type="containsText" priority="34" operator="containsText" dxfId="3" stopIfTrue="1" text="3">
      <formula>NOT(ISERROR(SEARCH("3",K20)))</formula>
    </cfRule>
    <cfRule type="containsText" priority="35" operator="containsText" dxfId="2" stopIfTrue="1" text="4">
      <formula>NOT(ISERROR(SEARCH("4",K20)))</formula>
    </cfRule>
    <cfRule type="containsText" priority="36" operator="containsText" dxfId="1" stopIfTrue="1" text="5">
      <formula>NOT(ISERROR(SEARCH("5",K20)))</formula>
    </cfRule>
  </conditionalFormatting>
  <conditionalFormatting sqref="K22:L22">
    <cfRule type="containsText" priority="25" operator="containsText" dxfId="6" stopIfTrue="1" text="0">
      <formula>NOT(ISERROR(SEARCH("0",K22)))</formula>
    </cfRule>
    <cfRule type="containsText" priority="26" operator="containsText" dxfId="5" stopIfTrue="1" text="1">
      <formula>NOT(ISERROR(SEARCH("1",K22)))</formula>
    </cfRule>
    <cfRule type="containsText" priority="27" operator="containsText" dxfId="4" stopIfTrue="1" text="2">
      <formula>NOT(ISERROR(SEARCH("2",K22)))</formula>
    </cfRule>
    <cfRule type="containsText" priority="28" operator="containsText" dxfId="3" stopIfTrue="1" text="3">
      <formula>NOT(ISERROR(SEARCH("3",K22)))</formula>
    </cfRule>
    <cfRule type="containsText" priority="29" operator="containsText" dxfId="2" stopIfTrue="1" text="4">
      <formula>NOT(ISERROR(SEARCH("4",K22)))</formula>
    </cfRule>
    <cfRule type="containsText" priority="30" operator="containsText" dxfId="1" stopIfTrue="1" text="5">
      <formula>NOT(ISERROR(SEARCH("5",K22)))</formula>
    </cfRule>
  </conditionalFormatting>
  <conditionalFormatting sqref="K23:L23">
    <cfRule type="containsText" priority="19" operator="containsText" dxfId="6" stopIfTrue="1" text="0">
      <formula>NOT(ISERROR(SEARCH("0",K23)))</formula>
    </cfRule>
    <cfRule type="containsText" priority="20" operator="containsText" dxfId="5" stopIfTrue="1" text="1">
      <formula>NOT(ISERROR(SEARCH("1",K23)))</formula>
    </cfRule>
    <cfRule type="containsText" priority="21" operator="containsText" dxfId="4" stopIfTrue="1" text="2">
      <formula>NOT(ISERROR(SEARCH("2",K23)))</formula>
    </cfRule>
    <cfRule type="containsText" priority="22" operator="containsText" dxfId="3" stopIfTrue="1" text="3">
      <formula>NOT(ISERROR(SEARCH("3",K23)))</formula>
    </cfRule>
    <cfRule type="containsText" priority="23" operator="containsText" dxfId="2" stopIfTrue="1" text="4">
      <formula>NOT(ISERROR(SEARCH("4",K23)))</formula>
    </cfRule>
    <cfRule type="containsText" priority="24" operator="containsText" dxfId="1" stopIfTrue="1" text="5">
      <formula>NOT(ISERROR(SEARCH("5",K23)))</formula>
    </cfRule>
  </conditionalFormatting>
  <conditionalFormatting sqref="K24:L24">
    <cfRule type="containsText" priority="13" operator="containsText" dxfId="6" stopIfTrue="1" text="0">
      <formula>NOT(ISERROR(SEARCH("0",K24)))</formula>
    </cfRule>
    <cfRule type="containsText" priority="14" operator="containsText" dxfId="5" stopIfTrue="1" text="1">
      <formula>NOT(ISERROR(SEARCH("1",K24)))</formula>
    </cfRule>
    <cfRule type="containsText" priority="15" operator="containsText" dxfId="4" stopIfTrue="1" text="2">
      <formula>NOT(ISERROR(SEARCH("2",K24)))</formula>
    </cfRule>
    <cfRule type="containsText" priority="16" operator="containsText" dxfId="3" stopIfTrue="1" text="3">
      <formula>NOT(ISERROR(SEARCH("3",K24)))</formula>
    </cfRule>
    <cfRule type="containsText" priority="17" operator="containsText" dxfId="2" stopIfTrue="1" text="4">
      <formula>NOT(ISERROR(SEARCH("4",K24)))</formula>
    </cfRule>
    <cfRule type="containsText" priority="18" operator="containsText" dxfId="1" stopIfTrue="1" text="5">
      <formula>NOT(ISERROR(SEARCH("5",K24)))</formula>
    </cfRule>
  </conditionalFormatting>
  <conditionalFormatting sqref="K25:L25">
    <cfRule type="containsText" priority="7" operator="containsText" dxfId="6" stopIfTrue="1" text="0">
      <formula>NOT(ISERROR(SEARCH("0",K25)))</formula>
    </cfRule>
    <cfRule type="containsText" priority="8" operator="containsText" dxfId="5" stopIfTrue="1" text="1">
      <formula>NOT(ISERROR(SEARCH("1",K25)))</formula>
    </cfRule>
    <cfRule type="containsText" priority="9" operator="containsText" dxfId="4" stopIfTrue="1" text="2">
      <formula>NOT(ISERROR(SEARCH("2",K25)))</formula>
    </cfRule>
    <cfRule type="containsText" priority="10" operator="containsText" dxfId="3" stopIfTrue="1" text="3">
      <formula>NOT(ISERROR(SEARCH("3",K25)))</formula>
    </cfRule>
    <cfRule type="containsText" priority="11" operator="containsText" dxfId="2" stopIfTrue="1" text="4">
      <formula>NOT(ISERROR(SEARCH("4",K25)))</formula>
    </cfRule>
    <cfRule type="containsText" priority="12" operator="containsText" dxfId="1" stopIfTrue="1" text="5">
      <formula>NOT(ISERROR(SEARCH("5",K25)))</formula>
    </cfRule>
  </conditionalFormatting>
  <conditionalFormatting sqref="K26:L26">
    <cfRule type="containsText" priority="1" operator="containsText" dxfId="6" stopIfTrue="1" text="0">
      <formula>NOT(ISERROR(SEARCH("0",K26)))</formula>
    </cfRule>
    <cfRule type="containsText" priority="2" operator="containsText" dxfId="5" stopIfTrue="1" text="1">
      <formula>NOT(ISERROR(SEARCH("1",K26)))</formula>
    </cfRule>
    <cfRule type="containsText" priority="3" operator="containsText" dxfId="4" stopIfTrue="1" text="2">
      <formula>NOT(ISERROR(SEARCH("2",K26)))</formula>
    </cfRule>
    <cfRule type="containsText" priority="4" operator="containsText" dxfId="3" stopIfTrue="1" text="3">
      <formula>NOT(ISERROR(SEARCH("3",K26)))</formula>
    </cfRule>
    <cfRule type="containsText" priority="5" operator="containsText" dxfId="2" stopIfTrue="1" text="4">
      <formula>NOT(ISERROR(SEARCH("4",K26)))</formula>
    </cfRule>
    <cfRule type="containsText" priority="6" operator="containsText" dxfId="1" stopIfTrue="1" text="5">
      <formula>NOT(ISERROR(SEARCH("5",K26)))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 fitToPage="1"/>
  </sheetPr>
  <dimension ref="A1:Y38"/>
  <sheetViews>
    <sheetView zoomScaleNormal="100" workbookViewId="0">
      <selection activeCell="E18" sqref="E18:J1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9"/>
    <col width="10.85546875" customWidth="1" style="220" min="10" max="10"/>
    <col width="7.42578125" customWidth="1" style="220" min="11" max="11"/>
    <col width="11.5703125" customWidth="1" style="220" min="12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13.15" customHeight="1" s="220">
      <c r="A5" s="391" t="inlineStr">
        <is>
          <t>Measured Depth</t>
        </is>
      </c>
      <c r="B5" s="527" t="n"/>
      <c r="C5" s="173" t="inlineStr">
        <is>
          <t>Porosity (%)</t>
        </is>
      </c>
      <c r="D5" s="527" t="n"/>
      <c r="E5" s="108" t="n"/>
      <c r="F5" s="528" t="n"/>
      <c r="G5" s="528" t="n"/>
      <c r="H5" s="528" t="n"/>
      <c r="I5" s="528" t="n"/>
      <c r="J5" s="529" t="n"/>
      <c r="K5" s="396" t="inlineStr">
        <is>
          <t>Reservoir</t>
        </is>
      </c>
      <c r="L5" s="528" t="n"/>
      <c r="Q5" s="403" t="inlineStr">
        <is>
          <t>Initial Targets</t>
        </is>
      </c>
      <c r="R5" s="526" t="n"/>
      <c r="S5" s="530" t="n"/>
      <c r="T5" s="531" t="inlineStr">
        <is>
          <t>Revised Targets</t>
        </is>
      </c>
      <c r="U5" s="526" t="n"/>
      <c r="V5" s="530" t="n"/>
    </row>
    <row r="6">
      <c r="A6" s="395" t="inlineStr">
        <is>
          <t>From</t>
        </is>
      </c>
      <c r="B6" s="108" t="inlineStr">
        <is>
          <t>To</t>
        </is>
      </c>
      <c r="C6" s="108" t="inlineStr">
        <is>
          <t>High</t>
        </is>
      </c>
      <c r="D6" s="109" t="inlineStr">
        <is>
          <t>Low</t>
        </is>
      </c>
      <c r="E6" s="532" t="inlineStr">
        <is>
          <t>Comments</t>
        </is>
      </c>
      <c r="J6" s="533" t="n"/>
      <c r="K6" s="399" t="inlineStr">
        <is>
          <t>Quality</t>
        </is>
      </c>
      <c r="Q6" s="144" t="inlineStr">
        <is>
          <t>MD</t>
        </is>
      </c>
      <c r="R6" s="145" t="inlineStr">
        <is>
          <t>TVD</t>
        </is>
      </c>
      <c r="S6" s="150" t="inlineStr">
        <is>
          <t>Subsea</t>
        </is>
      </c>
      <c r="T6" s="151" t="inlineStr">
        <is>
          <t>MD</t>
        </is>
      </c>
      <c r="U6" s="146" t="inlineStr">
        <is>
          <t>TVD</t>
        </is>
      </c>
      <c r="V6" s="150" t="inlineStr">
        <is>
          <t>Subsea</t>
        </is>
      </c>
    </row>
    <row r="7" customFormat="1" s="225">
      <c r="A7" s="129" t="n">
        <v>1007</v>
      </c>
      <c r="B7" s="284" t="n">
        <v>1025</v>
      </c>
      <c r="C7" s="534" t="inlineStr">
        <is>
          <t>18-12%</t>
        </is>
      </c>
      <c r="D7" s="535" t="inlineStr">
        <is>
          <t>3-9%</t>
        </is>
      </c>
      <c r="E7" s="381" t="inlineStr">
        <is>
          <t>Mod gas, gd ROP/Gamma/incr calc cmt, tr coal frags</t>
        </is>
      </c>
      <c r="F7" s="536" t="n"/>
      <c r="G7" s="536" t="n"/>
      <c r="H7" s="536" t="n"/>
      <c r="I7" s="536" t="n"/>
      <c r="J7" s="537" t="n"/>
      <c r="K7" s="384" t="n">
        <v>4</v>
      </c>
      <c r="L7" s="537" t="n"/>
      <c r="M7" s="225" t="n"/>
      <c r="N7" s="158" t="n"/>
      <c r="Q7" s="284" t="n">
        <v>1007</v>
      </c>
      <c r="R7" s="284" t="n">
        <v>576.6999999999999</v>
      </c>
      <c r="S7" s="288" t="n">
        <v>112.2</v>
      </c>
      <c r="T7" s="152" t="n"/>
      <c r="U7" s="284" t="n"/>
      <c r="V7" s="153" t="n"/>
      <c r="W7" s="147" t="n"/>
    </row>
    <row r="8" customFormat="1" s="225">
      <c r="A8" s="129">
        <f>B7</f>
        <v/>
      </c>
      <c r="B8" s="284" t="n">
        <v>1160</v>
      </c>
      <c r="C8" s="534" t="n">
        <v>0.18</v>
      </c>
      <c r="D8" s="535" t="n">
        <v>0.15</v>
      </c>
      <c r="E8" s="381" t="inlineStr">
        <is>
          <t>Good gas, v mnr calc cmt, rr coal frags, red clay resid</t>
        </is>
      </c>
      <c r="F8" s="536" t="n"/>
      <c r="G8" s="536" t="n"/>
      <c r="H8" s="536" t="n"/>
      <c r="I8" s="536" t="n"/>
      <c r="J8" s="537" t="n"/>
      <c r="K8" s="384" t="n">
        <v>4</v>
      </c>
      <c r="L8" s="537" t="n"/>
      <c r="M8" s="225" t="n"/>
      <c r="N8" s="158" t="n"/>
      <c r="Q8" s="284" t="n">
        <v>1065</v>
      </c>
      <c r="R8" s="284" t="n">
        <v>577.1</v>
      </c>
      <c r="S8" s="288" t="n">
        <v>111.8</v>
      </c>
      <c r="T8" s="152" t="n"/>
      <c r="U8" s="284" t="n"/>
      <c r="V8" s="153" t="n"/>
      <c r="W8" s="147" t="n"/>
    </row>
    <row r="9" ht="25.5" customFormat="1" customHeight="1" s="225">
      <c r="A9" s="129">
        <f>B8</f>
        <v/>
      </c>
      <c r="B9" s="284" t="n">
        <v>1200</v>
      </c>
      <c r="C9" s="534" t="inlineStr">
        <is>
          <t>12-18%</t>
        </is>
      </c>
      <c r="D9" s="535" t="inlineStr">
        <is>
          <t>3-9%</t>
        </is>
      </c>
      <c r="E9" s="381" t="inlineStr">
        <is>
          <t>Good ROP, mod gas, locz calc cmt, rr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M9" s="225" t="n"/>
      <c r="N9" s="158" t="n"/>
      <c r="Q9" s="284" t="n">
        <v>1095</v>
      </c>
      <c r="R9" s="284" t="n">
        <v>577.1999999999999</v>
      </c>
      <c r="S9" s="288" t="n">
        <v>111.7</v>
      </c>
      <c r="T9" s="152" t="n"/>
      <c r="U9" s="284" t="n"/>
      <c r="V9" s="153" t="n"/>
      <c r="W9" s="147" t="n"/>
    </row>
    <row r="10" ht="12.75" customFormat="1" customHeight="1" s="225">
      <c r="A10" s="129">
        <f>B9</f>
        <v/>
      </c>
      <c r="B10" s="284" t="n">
        <v>1310</v>
      </c>
      <c r="C10" s="534" t="inlineStr">
        <is>
          <t>12-18%</t>
        </is>
      </c>
      <c r="D10" s="535" t="inlineStr">
        <is>
          <t>3-9%</t>
        </is>
      </c>
      <c r="E10" s="381" t="inlineStr">
        <is>
          <t>Good ROP, mod gas, incr calc cmt, locz coal stgs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M10" s="225" t="n"/>
      <c r="N10" s="158" t="n"/>
      <c r="Q10" s="284" t="n">
        <v>1200</v>
      </c>
      <c r="R10" s="284" t="n">
        <v>577.4</v>
      </c>
      <c r="S10" s="288" t="n">
        <v>111.5</v>
      </c>
      <c r="T10" s="152" t="n"/>
      <c r="U10" s="284" t="n"/>
      <c r="V10" s="153" t="n"/>
      <c r="W10" s="147" t="n"/>
    </row>
    <row r="11" ht="12.75" customFormat="1" customHeight="1" s="225">
      <c r="A11" s="129">
        <f>B10</f>
        <v/>
      </c>
      <c r="B11" s="284" t="n">
        <v>1325</v>
      </c>
      <c r="C11" s="534" t="inlineStr">
        <is>
          <t>12-18%</t>
        </is>
      </c>
      <c r="D11" s="535" t="inlineStr">
        <is>
          <t>3-9%</t>
        </is>
      </c>
      <c r="E11" s="381" t="inlineStr">
        <is>
          <t>W dev calc stgs, incr coal, reduced ROP gamma intvls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M11" s="225" t="n"/>
      <c r="N11" s="158" t="n"/>
      <c r="Q11" s="284" t="n">
        <v>1300</v>
      </c>
      <c r="R11" s="284" t="n">
        <v>577.4</v>
      </c>
      <c r="S11" s="288" t="n">
        <v>111.5</v>
      </c>
      <c r="T11" s="152" t="n"/>
      <c r="U11" s="284" t="n"/>
      <c r="V11" s="153" t="n"/>
      <c r="W11" s="147" t="n"/>
    </row>
    <row r="12" ht="12.75" customFormat="1" customHeight="1" s="225">
      <c r="A12" s="129">
        <f>B11</f>
        <v/>
      </c>
      <c r="B12" s="284" t="n">
        <v>1380</v>
      </c>
      <c r="C12" s="534" t="inlineStr">
        <is>
          <t>12-18%</t>
        </is>
      </c>
      <c r="D12" s="535" t="inlineStr">
        <is>
          <t>3-9%</t>
        </is>
      </c>
      <c r="E12" s="381" t="inlineStr">
        <is>
          <t>Good ROP, mod gas, incr calc cmt, locz coal stgs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M12" s="225" t="n"/>
      <c r="N12" s="158" t="n"/>
      <c r="Q12" s="284" t="n">
        <v>1400</v>
      </c>
      <c r="R12" s="284" t="n">
        <v>577.4</v>
      </c>
      <c r="S12" s="288" t="n">
        <v>111.5</v>
      </c>
      <c r="T12" s="152" t="n"/>
      <c r="U12" s="284" t="n"/>
      <c r="V12" s="153" t="n"/>
      <c r="W12" s="148" t="n"/>
    </row>
    <row r="13" ht="12.75" customFormat="1" customHeight="1" s="225">
      <c r="A13" s="129">
        <f>B12</f>
        <v/>
      </c>
      <c r="B13" s="284" t="n">
        <v>1440</v>
      </c>
      <c r="C13" s="534" t="n">
        <v>0.18</v>
      </c>
      <c r="D13" s="535" t="n">
        <v>0.15</v>
      </c>
      <c r="E13" s="381" t="inlineStr">
        <is>
          <t>Good gas, v mnr calc cmt, rr coal frags, red clay resid</t>
        </is>
      </c>
      <c r="F13" s="536" t="n"/>
      <c r="G13" s="536" t="n"/>
      <c r="H13" s="536" t="n"/>
      <c r="I13" s="536" t="n"/>
      <c r="J13" s="537" t="n"/>
      <c r="K13" s="384" t="n">
        <v>4</v>
      </c>
      <c r="L13" s="537" t="n"/>
      <c r="M13" s="225" t="n"/>
      <c r="N13" s="158" t="n"/>
      <c r="Q13" s="284" t="n">
        <v>1500</v>
      </c>
      <c r="R13" s="284" t="n">
        <v>577.4</v>
      </c>
      <c r="S13" s="288" t="n">
        <v>111.5</v>
      </c>
      <c r="T13" s="152" t="n"/>
      <c r="U13" s="284" t="n"/>
      <c r="V13" s="153" t="n"/>
      <c r="W13" s="147" t="n"/>
    </row>
    <row r="14" ht="14.25" customFormat="1" customHeight="1" s="225">
      <c r="A14" s="129">
        <f>B13</f>
        <v/>
      </c>
      <c r="B14" s="284" t="n">
        <v>1670</v>
      </c>
      <c r="C14" s="534" t="inlineStr">
        <is>
          <t>12-18%</t>
        </is>
      </c>
      <c r="D14" s="535" t="inlineStr">
        <is>
          <t>3-9%</t>
        </is>
      </c>
      <c r="E14" s="381" t="inlineStr">
        <is>
          <t>Good ROP, mod gas, incr calc cmt, locz coal stgs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M14" s="225" t="n"/>
      <c r="N14" s="158" t="n"/>
      <c r="Q14" s="284" t="n">
        <v>1600</v>
      </c>
      <c r="R14" s="284" t="n">
        <v>577.4</v>
      </c>
      <c r="S14" s="288" t="n">
        <v>111.5</v>
      </c>
      <c r="T14" s="152" t="n"/>
      <c r="U14" s="284" t="n"/>
      <c r="V14" s="153" t="n"/>
      <c r="W14" s="147" t="n"/>
    </row>
    <row r="15" customFormat="1" s="225">
      <c r="A15" s="129">
        <f>B14</f>
        <v/>
      </c>
      <c r="B15" s="284" t="n">
        <v>1730</v>
      </c>
      <c r="C15" s="534" t="inlineStr">
        <is>
          <t>12-15%</t>
        </is>
      </c>
      <c r="D15" s="535" t="inlineStr">
        <is>
          <t>3-6%</t>
        </is>
      </c>
      <c r="E15" s="540" t="inlineStr">
        <is>
          <t>Inc calc cmt, mnr carb mat, drop in gas and rop.</t>
        </is>
      </c>
      <c r="F15" s="536" t="n"/>
      <c r="G15" s="536" t="n"/>
      <c r="H15" s="536" t="n"/>
      <c r="I15" s="536" t="n"/>
      <c r="J15" s="541" t="n"/>
      <c r="K15" s="414" t="n">
        <v>3</v>
      </c>
      <c r="L15" s="536" t="n"/>
      <c r="M15" s="225" t="n"/>
      <c r="N15" s="158" t="n"/>
      <c r="Q15" s="284" t="n">
        <v>1700</v>
      </c>
      <c r="R15" s="284" t="n">
        <v>577.9</v>
      </c>
      <c r="S15" s="288" t="n">
        <v>111</v>
      </c>
      <c r="T15" s="152" t="n"/>
      <c r="U15" s="284" t="n"/>
      <c r="V15" s="153" t="n"/>
      <c r="W15" s="147" t="n"/>
    </row>
    <row r="16" ht="23.1" customFormat="1" customHeight="1" s="225">
      <c r="A16" s="129">
        <f>B15</f>
        <v/>
      </c>
      <c r="B16" s="284" t="n">
        <v>1815</v>
      </c>
      <c r="C16" s="534" t="inlineStr">
        <is>
          <t>12-18%</t>
        </is>
      </c>
      <c r="D16" s="535" t="inlineStr">
        <is>
          <t>3-9%</t>
        </is>
      </c>
      <c r="E16" s="381" t="inlineStr">
        <is>
          <t>Good ROP, mod gas, dec calc cmt, Gamma low-mid 60's occ low 70's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M16" s="225" t="n"/>
      <c r="N16" s="158" t="n"/>
      <c r="Q16" s="284" t="n">
        <v>1800</v>
      </c>
      <c r="R16" s="284" t="n">
        <v>578.9</v>
      </c>
      <c r="S16" s="288" t="n">
        <v>110</v>
      </c>
      <c r="T16" s="152" t="n"/>
      <c r="U16" s="284" t="n"/>
      <c r="V16" s="153" t="n"/>
      <c r="W16" s="147" t="n"/>
    </row>
    <row r="17" customFormat="1" s="225">
      <c r="A17" s="129">
        <f>B16</f>
        <v/>
      </c>
      <c r="B17" s="284" t="n">
        <v>1935</v>
      </c>
      <c r="C17" s="534" t="inlineStr">
        <is>
          <t>12-18%</t>
        </is>
      </c>
      <c r="D17" s="535" t="inlineStr">
        <is>
          <t>3-9%</t>
        </is>
      </c>
      <c r="E17" s="381" t="inlineStr">
        <is>
          <t>Good ROP, mod gas, gamma mid 60's</t>
        </is>
      </c>
      <c r="F17" s="536" t="n"/>
      <c r="G17" s="536" t="n"/>
      <c r="H17" s="536" t="n"/>
      <c r="I17" s="536" t="n"/>
      <c r="J17" s="537" t="n"/>
      <c r="K17" s="414" t="n">
        <v>4</v>
      </c>
      <c r="L17" s="536" t="n"/>
      <c r="M17" s="225" t="n"/>
      <c r="N17" s="158" t="n"/>
      <c r="Q17" s="284" t="n">
        <v>1900</v>
      </c>
      <c r="R17" s="284" t="n">
        <v>580.4</v>
      </c>
      <c r="S17" s="288" t="n">
        <v>108.5</v>
      </c>
      <c r="T17" s="152" t="n"/>
      <c r="U17" s="284" t="n"/>
      <c r="V17" s="153" t="n"/>
      <c r="W17" s="147" t="n"/>
    </row>
    <row r="18" customFormat="1" s="225">
      <c r="A18" s="129">
        <f>B17</f>
        <v/>
      </c>
      <c r="B18" s="284" t="n">
        <v>1970</v>
      </c>
      <c r="C18" s="534" t="inlineStr">
        <is>
          <t>12-15%</t>
        </is>
      </c>
      <c r="D18" s="535" t="inlineStr">
        <is>
          <t>3-6%</t>
        </is>
      </c>
      <c r="E18" s="381" t="inlineStr">
        <is>
          <t>Inc calc cmt, inc carb mat,reduced ROP</t>
        </is>
      </c>
      <c r="F18" s="536" t="n"/>
      <c r="G18" s="536" t="n"/>
      <c r="H18" s="536" t="n"/>
      <c r="I18" s="536" t="n"/>
      <c r="J18" s="537" t="n"/>
      <c r="K18" s="384" t="n">
        <v>3</v>
      </c>
      <c r="L18" s="537" t="n"/>
      <c r="M18" s="225" t="n"/>
      <c r="N18" s="158" t="n"/>
      <c r="Q18" s="284" t="n">
        <v>2000</v>
      </c>
      <c r="R18" s="284" t="n">
        <v>580.9</v>
      </c>
      <c r="S18" s="288" t="n">
        <v>108</v>
      </c>
      <c r="T18" s="152" t="n"/>
      <c r="U18" s="284" t="n"/>
      <c r="V18" s="153" t="n"/>
      <c r="W18" s="147" t="n"/>
    </row>
    <row r="19" customFormat="1" s="225">
      <c r="A19" s="129">
        <f>B18</f>
        <v/>
      </c>
      <c r="B19" s="284" t="n">
        <v>2078</v>
      </c>
      <c r="C19" s="534" t="inlineStr">
        <is>
          <t>15-18%</t>
        </is>
      </c>
      <c r="D19" s="535" t="inlineStr">
        <is>
          <t>3-9%</t>
        </is>
      </c>
      <c r="E19" s="540" t="inlineStr">
        <is>
          <t>Good ROP, abndt lse qtz grns, low-mid gamma, mnr inc carb mat</t>
        </is>
      </c>
      <c r="F19" s="536" t="n"/>
      <c r="G19" s="536" t="n"/>
      <c r="H19" s="536" t="n"/>
      <c r="I19" s="536" t="n"/>
      <c r="J19" s="541" t="n"/>
      <c r="K19" s="414" t="n">
        <v>4</v>
      </c>
      <c r="L19" s="536" t="n"/>
      <c r="M19" s="225" t="n"/>
      <c r="N19" s="158" t="n"/>
      <c r="Q19" s="284" t="n">
        <v>2100</v>
      </c>
      <c r="R19" s="284" t="n">
        <v>580.9</v>
      </c>
      <c r="S19" s="288" t="n">
        <v>108</v>
      </c>
      <c r="T19" s="152" t="n"/>
      <c r="U19" s="284" t="n"/>
      <c r="V19" s="153" t="n"/>
      <c r="W19" s="147" t="n"/>
    </row>
    <row r="20" customFormat="1" s="225">
      <c r="A20" s="129">
        <f>B19</f>
        <v/>
      </c>
      <c r="B20" s="284" t="n">
        <v>2105</v>
      </c>
      <c r="C20" s="534" t="inlineStr">
        <is>
          <t>15-18%</t>
        </is>
      </c>
      <c r="D20" s="535" t="inlineStr">
        <is>
          <t>3-6%</t>
        </is>
      </c>
      <c r="E20" s="381" t="inlineStr">
        <is>
          <t>Good ROP, mod gas, gamma mid 60's</t>
        </is>
      </c>
      <c r="F20" s="536" t="n"/>
      <c r="G20" s="536" t="n"/>
      <c r="H20" s="536" t="n"/>
      <c r="I20" s="536" t="n"/>
      <c r="J20" s="537" t="n"/>
      <c r="K20" s="384" t="n">
        <v>4</v>
      </c>
      <c r="L20" s="537" t="n"/>
      <c r="M20" s="225" t="n"/>
      <c r="N20" s="158" t="n"/>
      <c r="Q20" s="284" t="n">
        <v>2200</v>
      </c>
      <c r="R20" s="284" t="n">
        <v>580.9</v>
      </c>
      <c r="S20" s="288" t="n">
        <v>108</v>
      </c>
      <c r="T20" s="152" t="n"/>
      <c r="U20" s="284" t="n"/>
      <c r="V20" s="153" t="n"/>
      <c r="W20" s="147" t="n"/>
    </row>
    <row r="21" customFormat="1" s="225">
      <c r="A21" s="129">
        <f>B20</f>
        <v/>
      </c>
      <c r="B21" s="284" t="n">
        <v>2220</v>
      </c>
      <c r="C21" s="534" t="inlineStr">
        <is>
          <t>12-18%</t>
        </is>
      </c>
      <c r="D21" s="535" t="inlineStr">
        <is>
          <t>3-9%</t>
        </is>
      </c>
      <c r="E21" s="381" t="inlineStr">
        <is>
          <t xml:space="preserve">Mod ROP, gamma mid 60's, gas low, occ inc calc cmt 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M21" s="225" t="n"/>
      <c r="N21" s="158" t="n"/>
      <c r="Q21" s="284" t="n">
        <v>2274</v>
      </c>
      <c r="R21" s="284" t="n">
        <v>580.9</v>
      </c>
      <c r="S21" s="288" t="n">
        <v>108</v>
      </c>
      <c r="T21" s="152" t="n"/>
      <c r="U21" s="284" t="n"/>
      <c r="V21" s="153" t="n"/>
      <c r="W21" s="147" t="n"/>
    </row>
    <row r="22" customFormat="1" s="225">
      <c r="A22" s="129">
        <f>B21</f>
        <v/>
      </c>
      <c r="B22" s="284" t="n">
        <v>2273</v>
      </c>
      <c r="C22" s="534" t="inlineStr">
        <is>
          <t>15-18%</t>
        </is>
      </c>
      <c r="D22" s="535" t="inlineStr">
        <is>
          <t>3-6%</t>
        </is>
      </c>
      <c r="E22" s="381" t="inlineStr">
        <is>
          <t>Good ROP, inc gas, tr carb frags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M22" s="225" t="n"/>
      <c r="N22" s="158" t="n"/>
      <c r="Q22" s="284" t="n"/>
      <c r="R22" s="284" t="n"/>
      <c r="S22" s="288" t="n"/>
      <c r="T22" s="152" t="n"/>
      <c r="U22" s="284" t="n"/>
      <c r="V22" s="153" t="n"/>
      <c r="W22" s="147" t="n"/>
    </row>
    <row r="23">
      <c r="A23" s="389" t="inlineStr">
        <is>
          <t>Reservoir Quality / Representative Sample</t>
        </is>
      </c>
      <c r="B23" s="526" t="n"/>
      <c r="C23" s="526" t="n"/>
      <c r="D23" s="526" t="n"/>
      <c r="E23" s="526" t="n"/>
      <c r="F23" s="526" t="n"/>
      <c r="G23" s="526" t="n"/>
      <c r="H23" s="526" t="n"/>
      <c r="I23" s="526" t="n"/>
      <c r="J23" s="526" t="n"/>
      <c r="K23" s="526" t="n"/>
      <c r="L23" s="526" t="n"/>
    </row>
    <row r="24" ht="12.75" customHeight="1" s="220">
      <c r="A24" s="110" t="n">
        <v>5</v>
      </c>
      <c r="B24" s="412" t="n"/>
      <c r="C24" s="536" t="n"/>
      <c r="D24" s="536" t="n"/>
      <c r="E24" s="536" t="n"/>
      <c r="F24" s="536" t="n"/>
      <c r="G24" s="536" t="n"/>
      <c r="H24" s="536" t="n"/>
      <c r="I24" s="536" t="n"/>
      <c r="J24" s="536" t="n"/>
      <c r="K24" s="536" t="n"/>
      <c r="L24" s="537" t="n"/>
    </row>
    <row r="25" ht="12.75" customHeight="1" s="220">
      <c r="A25" s="110" t="n">
        <v>4</v>
      </c>
      <c r="B25" s="412" t="inlineStr">
        <is>
          <t>SS: lt gy-dull yel, predy uncons grns wi rr w cmtd aggs, locz wkly cmtd aggs, w srtd, lf-uf grnd, wi com uvf and rr lm, sa-sr, clr and fros qtz grns wi com lt-dk gy, wht &amp; off wht, blk cht, mnr arg stks, rr pyr, mnr locz stks of abdnt calc cmt, tr coal/carb stgs, mnr silt/clay resid, locz silty stgs, est 15-18% eff intgrn por, IA.</t>
        </is>
      </c>
      <c r="C25" s="536" t="n"/>
      <c r="D25" s="536" t="n"/>
      <c r="E25" s="536" t="n"/>
      <c r="F25" s="536" t="n"/>
      <c r="G25" s="536" t="n"/>
      <c r="H25" s="536" t="n"/>
      <c r="I25" s="536" t="n"/>
      <c r="J25" s="536" t="n"/>
      <c r="K25" s="536" t="n"/>
      <c r="L25" s="537" t="n"/>
    </row>
    <row r="26" ht="12.75" customHeight="1" s="220">
      <c r="A26" s="110" t="n">
        <v>3</v>
      </c>
      <c r="B26" s="412" t="inlineStr">
        <is>
          <t>SS: lt gy-dull yel, predy uncons grns wi com w cmtd aggs, rr wkly cmtd aggs, w srtd, lf-uf grnd, wi com uvf and rr lm, sa-sr, clr and fros qtz grns wi com lt-dk gy, wht &amp; off wht, blk cht, mnr arg stks, occ pyr, stks of abdnt calc cmt, occ coal/carb stgs, mod silt/clay resid, tr sltst stgs, est 12-18% eff intgrn por wi locz w dev stks of 3-9% por, IA and stks of III.</t>
        </is>
      </c>
      <c r="C26" s="536" t="n"/>
      <c r="D26" s="536" t="n"/>
      <c r="E26" s="536" t="n"/>
      <c r="F26" s="536" t="n"/>
      <c r="G26" s="536" t="n"/>
      <c r="H26" s="536" t="n"/>
      <c r="I26" s="536" t="n"/>
      <c r="J26" s="536" t="n"/>
      <c r="K26" s="536" t="n"/>
      <c r="L26" s="537" t="n"/>
    </row>
    <row r="27" ht="12.75" customHeight="1" s="220">
      <c r="A27" s="110" t="n">
        <v>2</v>
      </c>
      <c r="B27" s="412" t="n"/>
      <c r="C27" s="536" t="n"/>
      <c r="D27" s="536" t="n"/>
      <c r="E27" s="536" t="n"/>
      <c r="F27" s="536" t="n"/>
      <c r="G27" s="536" t="n"/>
      <c r="H27" s="536" t="n"/>
      <c r="I27" s="536" t="n"/>
      <c r="J27" s="536" t="n"/>
      <c r="K27" s="536" t="n"/>
      <c r="L27" s="537" t="n"/>
    </row>
    <row r="28" ht="12.75" customHeight="1" s="220">
      <c r="A28" s="110" t="n">
        <v>1</v>
      </c>
      <c r="B28" s="412" t="n"/>
      <c r="C28" s="536" t="n"/>
      <c r="D28" s="536" t="n"/>
      <c r="E28" s="536" t="n"/>
      <c r="F28" s="536" t="n"/>
      <c r="G28" s="536" t="n"/>
      <c r="H28" s="536" t="n"/>
      <c r="I28" s="536" t="n"/>
      <c r="J28" s="536" t="n"/>
      <c r="K28" s="536" t="n"/>
      <c r="L28" s="537" t="n"/>
    </row>
    <row r="29" ht="12.75" customHeight="1" s="220">
      <c r="A29" s="110" t="n">
        <v>0</v>
      </c>
      <c r="B29" s="412" t="n"/>
      <c r="C29" s="536" t="n"/>
      <c r="D29" s="536" t="n"/>
      <c r="E29" s="536" t="n"/>
      <c r="F29" s="536" t="n"/>
      <c r="G29" s="536" t="n"/>
      <c r="H29" s="536" t="n"/>
      <c r="I29" s="536" t="n"/>
      <c r="J29" s="536" t="n"/>
      <c r="K29" s="536" t="n"/>
      <c r="L29" s="537" t="n"/>
    </row>
    <row r="30" ht="12.75" customHeight="1" s="220">
      <c r="A30" s="410" t="n"/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 ht="12.75" customHeight="1" s="220">
      <c r="A31" s="407" t="inlineStr">
        <is>
          <t>Geologist Notes / Updates</t>
        </is>
      </c>
      <c r="B31" s="528" t="n"/>
      <c r="C31" s="528" t="n"/>
      <c r="D31" s="528" t="n"/>
      <c r="E31" s="528" t="n"/>
      <c r="F31" s="528" t="n"/>
      <c r="G31" s="528" t="n"/>
      <c r="H31" s="528" t="n"/>
      <c r="I31" s="528" t="n"/>
      <c r="J31" s="528" t="n"/>
      <c r="K31" s="528" t="n"/>
      <c r="L31" s="528" t="n"/>
    </row>
    <row r="32">
      <c r="A32" s="408" t="n"/>
      <c r="B32" s="225" t="n"/>
      <c r="C32" s="225" t="n"/>
      <c r="D32" s="225" t="n"/>
      <c r="E32" s="225" t="n"/>
      <c r="F32" s="225" t="n"/>
      <c r="G32" s="225" t="n"/>
      <c r="H32" s="225" t="n"/>
      <c r="I32" s="225" t="n"/>
      <c r="J32" s="225" t="n"/>
      <c r="K32" s="225" t="n"/>
      <c r="L32" s="225" t="n"/>
    </row>
    <row r="33">
      <c r="A33" s="409" t="n"/>
      <c r="B33" s="538" t="n"/>
      <c r="C33" s="538" t="n"/>
      <c r="D33" s="538" t="n"/>
      <c r="E33" s="538" t="n"/>
      <c r="F33" s="538" t="n"/>
      <c r="G33" s="538" t="n"/>
      <c r="H33" s="538" t="n"/>
      <c r="I33" s="538" t="n"/>
      <c r="J33" s="538" t="n"/>
      <c r="K33" s="538" t="n"/>
      <c r="L33" s="539" t="n"/>
    </row>
    <row r="34">
      <c r="A34" s="405" t="n"/>
      <c r="B34" s="536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>
      <c r="A35" s="405" t="n"/>
      <c r="B35" s="536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>
      <c r="A36" s="405" t="n"/>
      <c r="B36" s="536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405" t="n"/>
      <c r="B37" s="536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>
      <c r="A38" s="406" t="n"/>
      <c r="B38" s="225" t="n"/>
      <c r="C38" s="225" t="n"/>
      <c r="D38" s="225" t="n"/>
      <c r="E38" s="225" t="n"/>
      <c r="F38" s="225" t="n"/>
      <c r="G38" s="225" t="n"/>
      <c r="H38" s="225" t="n"/>
      <c r="I38" s="225" t="n"/>
      <c r="J38" s="225" t="n"/>
      <c r="K38" s="225" t="n"/>
      <c r="L38" s="225" t="n"/>
    </row>
  </sheetData>
  <mergeCells count="60">
    <mergeCell ref="E21:J21"/>
    <mergeCell ref="K21:L21"/>
    <mergeCell ref="E22:J22"/>
    <mergeCell ref="K22:L22"/>
    <mergeCell ref="E17:J17"/>
    <mergeCell ref="K17:L17"/>
    <mergeCell ref="E19:J19"/>
    <mergeCell ref="K19:L19"/>
    <mergeCell ref="E20:J20"/>
    <mergeCell ref="K20:L20"/>
    <mergeCell ref="A1:L1"/>
    <mergeCell ref="A2:L2"/>
    <mergeCell ref="A3:L3"/>
    <mergeCell ref="A4:L4"/>
    <mergeCell ref="E7:J7"/>
    <mergeCell ref="K7:L7"/>
    <mergeCell ref="A5:B5"/>
    <mergeCell ref="C5:D5"/>
    <mergeCell ref="E5:J5"/>
    <mergeCell ref="K5:L5"/>
    <mergeCell ref="T5:V5"/>
    <mergeCell ref="E6:J6"/>
    <mergeCell ref="K6:L6"/>
    <mergeCell ref="E18:J18"/>
    <mergeCell ref="K18:L18"/>
    <mergeCell ref="E8:J8"/>
    <mergeCell ref="K8:L8"/>
    <mergeCell ref="E12:J12"/>
    <mergeCell ref="K12:L12"/>
    <mergeCell ref="E13:J13"/>
    <mergeCell ref="E11:J11"/>
    <mergeCell ref="K11:L11"/>
    <mergeCell ref="E9:J9"/>
    <mergeCell ref="K9:L9"/>
    <mergeCell ref="E10:J10"/>
    <mergeCell ref="K10:L10"/>
    <mergeCell ref="Q5:S5"/>
    <mergeCell ref="A30:L30"/>
    <mergeCell ref="A23:L23"/>
    <mergeCell ref="B24:L24"/>
    <mergeCell ref="B25:L25"/>
    <mergeCell ref="B26:L26"/>
    <mergeCell ref="B27:L27"/>
    <mergeCell ref="B28:L28"/>
    <mergeCell ref="B29:L29"/>
    <mergeCell ref="K13:L13"/>
    <mergeCell ref="E14:J14"/>
    <mergeCell ref="K14:L14"/>
    <mergeCell ref="E15:J15"/>
    <mergeCell ref="K15:L15"/>
    <mergeCell ref="E16:J16"/>
    <mergeCell ref="K16:L16"/>
    <mergeCell ref="A37:L37"/>
    <mergeCell ref="A38:L38"/>
    <mergeCell ref="A31:L31"/>
    <mergeCell ref="A32:L32"/>
    <mergeCell ref="A33:L33"/>
    <mergeCell ref="A34:L34"/>
    <mergeCell ref="A35:L35"/>
    <mergeCell ref="A36:L36"/>
  </mergeCells>
  <conditionalFormatting sqref="A24:A29">
    <cfRule type="containsText" priority="1033" operator="containsText" dxfId="6" stopIfTrue="1" text="0">
      <formula>NOT(ISERROR(SEARCH("0",A24)))</formula>
    </cfRule>
    <cfRule type="containsText" priority="1034" operator="containsText" dxfId="5" stopIfTrue="1" text="1">
      <formula>NOT(ISERROR(SEARCH("1",A24)))</formula>
    </cfRule>
    <cfRule type="containsText" priority="1035" operator="containsText" dxfId="4" stopIfTrue="1" text="2">
      <formula>NOT(ISERROR(SEARCH("2",A24)))</formula>
    </cfRule>
    <cfRule type="containsText" priority="1036" operator="containsText" dxfId="3" stopIfTrue="1" text="3">
      <formula>NOT(ISERROR(SEARCH("3",A24)))</formula>
    </cfRule>
    <cfRule type="containsText" priority="1037" operator="containsText" dxfId="2" stopIfTrue="1" text="4">
      <formula>NOT(ISERROR(SEARCH("4",A24)))</formula>
    </cfRule>
    <cfRule type="containsText" priority="1038" operator="containsText" dxfId="1" stopIfTrue="1" text="5">
      <formula>NOT(ISERROR(SEARCH("5",A24)))</formula>
    </cfRule>
  </conditionalFormatting>
  <conditionalFormatting sqref="K20:L20">
    <cfRule type="containsText" priority="295" operator="containsText" dxfId="6" stopIfTrue="1" text="0">
      <formula>NOT(ISERROR(SEARCH("0",K20)))</formula>
    </cfRule>
    <cfRule type="containsText" priority="296" operator="containsText" dxfId="5" stopIfTrue="1" text="1">
      <formula>NOT(ISERROR(SEARCH("1",K20)))</formula>
    </cfRule>
    <cfRule type="containsText" priority="297" operator="containsText" dxfId="4" stopIfTrue="1" text="2">
      <formula>NOT(ISERROR(SEARCH("2",K20)))</formula>
    </cfRule>
    <cfRule type="containsText" priority="298" operator="containsText" dxfId="3" stopIfTrue="1" text="3">
      <formula>NOT(ISERROR(SEARCH("3",K20)))</formula>
    </cfRule>
    <cfRule type="containsText" priority="299" operator="containsText" dxfId="2" stopIfTrue="1" text="4">
      <formula>NOT(ISERROR(SEARCH("4",K20)))</formula>
    </cfRule>
    <cfRule type="containsText" priority="300" operator="containsText" dxfId="1" stopIfTrue="1" text="5">
      <formula>NOT(ISERROR(SEARCH("5",K20)))</formula>
    </cfRule>
  </conditionalFormatting>
  <conditionalFormatting sqref="K21:L21">
    <cfRule type="containsText" priority="289" operator="containsText" dxfId="6" stopIfTrue="1" text="0">
      <formula>NOT(ISERROR(SEARCH("0",K21)))</formula>
    </cfRule>
    <cfRule type="containsText" priority="290" operator="containsText" dxfId="5" stopIfTrue="1" text="1">
      <formula>NOT(ISERROR(SEARCH("1",K21)))</formula>
    </cfRule>
    <cfRule type="containsText" priority="291" operator="containsText" dxfId="4" stopIfTrue="1" text="2">
      <formula>NOT(ISERROR(SEARCH("2",K21)))</formula>
    </cfRule>
    <cfRule type="containsText" priority="292" operator="containsText" dxfId="3" stopIfTrue="1" text="3">
      <formula>NOT(ISERROR(SEARCH("3",K21)))</formula>
    </cfRule>
    <cfRule type="containsText" priority="293" operator="containsText" dxfId="2" stopIfTrue="1" text="4">
      <formula>NOT(ISERROR(SEARCH("4",K21)))</formula>
    </cfRule>
    <cfRule type="containsText" priority="294" operator="containsText" dxfId="1" stopIfTrue="1" text="5">
      <formula>NOT(ISERROR(SEARCH("5",K21)))</formula>
    </cfRule>
  </conditionalFormatting>
  <conditionalFormatting sqref="K22:L22">
    <cfRule type="containsText" priority="283" operator="containsText" dxfId="6" stopIfTrue="1" text="0">
      <formula>NOT(ISERROR(SEARCH("0",K22)))</formula>
    </cfRule>
    <cfRule type="containsText" priority="284" operator="containsText" dxfId="5" stopIfTrue="1" text="1">
      <formula>NOT(ISERROR(SEARCH("1",K22)))</formula>
    </cfRule>
    <cfRule type="containsText" priority="285" operator="containsText" dxfId="4" stopIfTrue="1" text="2">
      <formula>NOT(ISERROR(SEARCH("2",K22)))</formula>
    </cfRule>
    <cfRule type="containsText" priority="286" operator="containsText" dxfId="3" stopIfTrue="1" text="3">
      <formula>NOT(ISERROR(SEARCH("3",K22)))</formula>
    </cfRule>
    <cfRule type="containsText" priority="287" operator="containsText" dxfId="2" stopIfTrue="1" text="4">
      <formula>NOT(ISERROR(SEARCH("4",K22)))</formula>
    </cfRule>
    <cfRule type="containsText" priority="288" operator="containsText" dxfId="1" stopIfTrue="1" text="5">
      <formula>NOT(ISERROR(SEARCH("5",K22)))</formula>
    </cfRule>
  </conditionalFormatting>
  <conditionalFormatting sqref="K8:L8">
    <cfRule type="containsText" priority="193" operator="containsText" dxfId="6" stopIfTrue="1" text="0">
      <formula>NOT(ISERROR(SEARCH("0",K8)))</formula>
    </cfRule>
    <cfRule type="containsText" priority="194" operator="containsText" dxfId="5" stopIfTrue="1" text="1">
      <formula>NOT(ISERROR(SEARCH("1",K8)))</formula>
    </cfRule>
    <cfRule type="containsText" priority="195" operator="containsText" dxfId="4" stopIfTrue="1" text="2">
      <formula>NOT(ISERROR(SEARCH("2",K8)))</formula>
    </cfRule>
    <cfRule type="containsText" priority="196" operator="containsText" dxfId="3" stopIfTrue="1" text="3">
      <formula>NOT(ISERROR(SEARCH("3",K8)))</formula>
    </cfRule>
    <cfRule type="containsText" priority="197" operator="containsText" dxfId="2" stopIfTrue="1" text="4">
      <formula>NOT(ISERROR(SEARCH("4",K8)))</formula>
    </cfRule>
    <cfRule type="containsText" priority="198" operator="containsText" dxfId="1" stopIfTrue="1" text="5">
      <formula>NOT(ISERROR(SEARCH("5",K8)))</formula>
    </cfRule>
  </conditionalFormatting>
  <conditionalFormatting sqref="K10:L10">
    <cfRule type="containsText" priority="187" operator="containsText" dxfId="6" stopIfTrue="1" text="0">
      <formula>NOT(ISERROR(SEARCH("0",K10)))</formula>
    </cfRule>
    <cfRule type="containsText" priority="188" operator="containsText" dxfId="5" stopIfTrue="1" text="1">
      <formula>NOT(ISERROR(SEARCH("1",K10)))</formula>
    </cfRule>
    <cfRule type="containsText" priority="189" operator="containsText" dxfId="4" stopIfTrue="1" text="2">
      <formula>NOT(ISERROR(SEARCH("2",K10)))</formula>
    </cfRule>
    <cfRule type="containsText" priority="190" operator="containsText" dxfId="3" stopIfTrue="1" text="3">
      <formula>NOT(ISERROR(SEARCH("3",K10)))</formula>
    </cfRule>
    <cfRule type="containsText" priority="191" operator="containsText" dxfId="2" stopIfTrue="1" text="4">
      <formula>NOT(ISERROR(SEARCH("4",K10)))</formula>
    </cfRule>
    <cfRule type="containsText" priority="192" operator="containsText" dxfId="1" stopIfTrue="1" text="5">
      <formula>NOT(ISERROR(SEARCH("5",K10)))</formula>
    </cfRule>
  </conditionalFormatting>
  <conditionalFormatting sqref="K15:L15">
    <cfRule type="containsText" priority="157" operator="containsText" dxfId="6" stopIfTrue="1" text="0">
      <formula>NOT(ISERROR(SEARCH("0",K15)))</formula>
    </cfRule>
    <cfRule type="containsText" priority="158" operator="containsText" dxfId="5" stopIfTrue="1" text="1">
      <formula>NOT(ISERROR(SEARCH("1",K15)))</formula>
    </cfRule>
    <cfRule type="containsText" priority="159" operator="containsText" dxfId="4" stopIfTrue="1" text="2">
      <formula>NOT(ISERROR(SEARCH("2",K15)))</formula>
    </cfRule>
    <cfRule type="containsText" priority="160" operator="containsText" dxfId="3" stopIfTrue="1" text="3">
      <formula>NOT(ISERROR(SEARCH("3",K15)))</formula>
    </cfRule>
    <cfRule type="containsText" priority="161" operator="containsText" dxfId="2" stopIfTrue="1" text="4">
      <formula>NOT(ISERROR(SEARCH("4",K15)))</formula>
    </cfRule>
    <cfRule type="containsText" priority="162" operator="containsText" dxfId="1" stopIfTrue="1" text="5">
      <formula>NOT(ISERROR(SEARCH("5",K15)))</formula>
    </cfRule>
  </conditionalFormatting>
  <conditionalFormatting sqref="K16:L16">
    <cfRule type="containsText" priority="151" operator="containsText" dxfId="6" stopIfTrue="1" text="0">
      <formula>NOT(ISERROR(SEARCH("0",K16)))</formula>
    </cfRule>
    <cfRule type="containsText" priority="152" operator="containsText" dxfId="5" stopIfTrue="1" text="1">
      <formula>NOT(ISERROR(SEARCH("1",K16)))</formula>
    </cfRule>
    <cfRule type="containsText" priority="153" operator="containsText" dxfId="4" stopIfTrue="1" text="2">
      <formula>NOT(ISERROR(SEARCH("2",K16)))</formula>
    </cfRule>
    <cfRule type="containsText" priority="154" operator="containsText" dxfId="3" stopIfTrue="1" text="3">
      <formula>NOT(ISERROR(SEARCH("3",K16)))</formula>
    </cfRule>
    <cfRule type="containsText" priority="155" operator="containsText" dxfId="2" stopIfTrue="1" text="4">
      <formula>NOT(ISERROR(SEARCH("4",K16)))</formula>
    </cfRule>
    <cfRule type="containsText" priority="156" operator="containsText" dxfId="1" stopIfTrue="1" text="5">
      <formula>NOT(ISERROR(SEARCH("5",K16)))</formula>
    </cfRule>
  </conditionalFormatting>
  <conditionalFormatting sqref="K17:L17">
    <cfRule type="containsText" priority="145" operator="containsText" dxfId="6" stopIfTrue="1" text="0">
      <formula>NOT(ISERROR(SEARCH("0",K17)))</formula>
    </cfRule>
    <cfRule type="containsText" priority="146" operator="containsText" dxfId="5" stopIfTrue="1" text="1">
      <formula>NOT(ISERROR(SEARCH("1",K17)))</formula>
    </cfRule>
    <cfRule type="containsText" priority="147" operator="containsText" dxfId="4" stopIfTrue="1" text="2">
      <formula>NOT(ISERROR(SEARCH("2",K17)))</formula>
    </cfRule>
    <cfRule type="containsText" priority="148" operator="containsText" dxfId="3" stopIfTrue="1" text="3">
      <formula>NOT(ISERROR(SEARCH("3",K17)))</formula>
    </cfRule>
    <cfRule type="containsText" priority="149" operator="containsText" dxfId="2" stopIfTrue="1" text="4">
      <formula>NOT(ISERROR(SEARCH("4",K17)))</formula>
    </cfRule>
    <cfRule type="containsText" priority="150" operator="containsText" dxfId="1" stopIfTrue="1" text="5">
      <formula>NOT(ISERROR(SEARCH("5",K17)))</formula>
    </cfRule>
  </conditionalFormatting>
  <conditionalFormatting sqref="K18:L18">
    <cfRule type="containsText" priority="139" operator="containsText" dxfId="6" stopIfTrue="1" text="0">
      <formula>NOT(ISERROR(SEARCH("0",K18)))</formula>
    </cfRule>
    <cfRule type="containsText" priority="140" operator="containsText" dxfId="5" stopIfTrue="1" text="1">
      <formula>NOT(ISERROR(SEARCH("1",K18)))</formula>
    </cfRule>
    <cfRule type="containsText" priority="141" operator="containsText" dxfId="4" stopIfTrue="1" text="2">
      <formula>NOT(ISERROR(SEARCH("2",K18)))</formula>
    </cfRule>
    <cfRule type="containsText" priority="142" operator="containsText" dxfId="3" stopIfTrue="1" text="3">
      <formula>NOT(ISERROR(SEARCH("3",K18)))</formula>
    </cfRule>
    <cfRule type="containsText" priority="143" operator="containsText" dxfId="2" stopIfTrue="1" text="4">
      <formula>NOT(ISERROR(SEARCH("4",K18)))</formula>
    </cfRule>
    <cfRule type="containsText" priority="144" operator="containsText" dxfId="1" stopIfTrue="1" text="5">
      <formula>NOT(ISERROR(SEARCH("5",K18)))</formula>
    </cfRule>
  </conditionalFormatting>
  <conditionalFormatting sqref="K19:L19">
    <cfRule type="containsText" priority="133" operator="containsText" dxfId="6" stopIfTrue="1" text="0">
      <formula>NOT(ISERROR(SEARCH("0",K19)))</formula>
    </cfRule>
    <cfRule type="containsText" priority="134" operator="containsText" dxfId="5" stopIfTrue="1" text="1">
      <formula>NOT(ISERROR(SEARCH("1",K19)))</formula>
    </cfRule>
    <cfRule type="containsText" priority="135" operator="containsText" dxfId="4" stopIfTrue="1" text="2">
      <formula>NOT(ISERROR(SEARCH("2",K19)))</formula>
    </cfRule>
    <cfRule type="containsText" priority="136" operator="containsText" dxfId="3" stopIfTrue="1" text="3">
      <formula>NOT(ISERROR(SEARCH("3",K19)))</formula>
    </cfRule>
    <cfRule type="containsText" priority="137" operator="containsText" dxfId="2" stopIfTrue="1" text="4">
      <formula>NOT(ISERROR(SEARCH("4",K19)))</formula>
    </cfRule>
    <cfRule type="containsText" priority="138" operator="containsText" dxfId="1" stopIfTrue="1" text="5">
      <formula>NOT(ISERROR(SEARCH("5",K19)))</formula>
    </cfRule>
  </conditionalFormatting>
  <conditionalFormatting sqref="K7:L7">
    <cfRule type="containsText" priority="31" operator="containsText" dxfId="6" stopIfTrue="1" text="0">
      <formula>NOT(ISERROR(SEARCH("0",K7)))</formula>
    </cfRule>
    <cfRule type="containsText" priority="32" operator="containsText" dxfId="5" stopIfTrue="1" text="1">
      <formula>NOT(ISERROR(SEARCH("1",K7)))</formula>
    </cfRule>
    <cfRule type="containsText" priority="33" operator="containsText" dxfId="4" stopIfTrue="1" text="2">
      <formula>NOT(ISERROR(SEARCH("2",K7)))</formula>
    </cfRule>
    <cfRule type="containsText" priority="34" operator="containsText" dxfId="3" stopIfTrue="1" text="3">
      <formula>NOT(ISERROR(SEARCH("3",K7)))</formula>
    </cfRule>
    <cfRule type="containsText" priority="35" operator="containsText" dxfId="2" stopIfTrue="1" text="4">
      <formula>NOT(ISERROR(SEARCH("4",K7)))</formula>
    </cfRule>
    <cfRule type="containsText" priority="36" operator="containsText" dxfId="1" stopIfTrue="1" text="5">
      <formula>NOT(ISERROR(SEARCH("5",K7)))</formula>
    </cfRule>
  </conditionalFormatting>
  <conditionalFormatting sqref="K9:L9">
    <cfRule type="containsText" priority="25" operator="containsText" dxfId="6" stopIfTrue="1" text="0">
      <formula>NOT(ISERROR(SEARCH("0",K9)))</formula>
    </cfRule>
    <cfRule type="containsText" priority="26" operator="containsText" dxfId="5" stopIfTrue="1" text="1">
      <formula>NOT(ISERROR(SEARCH("1",K9)))</formula>
    </cfRule>
    <cfRule type="containsText" priority="27" operator="containsText" dxfId="4" stopIfTrue="1" text="2">
      <formula>NOT(ISERROR(SEARCH("2",K9)))</formula>
    </cfRule>
    <cfRule type="containsText" priority="28" operator="containsText" dxfId="3" stopIfTrue="1" text="3">
      <formula>NOT(ISERROR(SEARCH("3",K9)))</formula>
    </cfRule>
    <cfRule type="containsText" priority="29" operator="containsText" dxfId="2" stopIfTrue="1" text="4">
      <formula>NOT(ISERROR(SEARCH("4",K9)))</formula>
    </cfRule>
    <cfRule type="containsText" priority="30" operator="containsText" dxfId="1" stopIfTrue="1" text="5">
      <formula>NOT(ISERROR(SEARCH("5",K9)))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12:L12">
    <cfRule type="containsText" priority="13" operator="containsText" dxfId="6" stopIfTrue="1" text="0">
      <formula>NOT(ISERROR(SEARCH("0",K12)))</formula>
    </cfRule>
    <cfRule type="containsText" priority="14" operator="containsText" dxfId="5" stopIfTrue="1" text="1">
      <formula>NOT(ISERROR(SEARCH("1",K12)))</formula>
    </cfRule>
    <cfRule type="containsText" priority="15" operator="containsText" dxfId="4" stopIfTrue="1" text="2">
      <formula>NOT(ISERROR(SEARCH("2",K12)))</formula>
    </cfRule>
    <cfRule type="containsText" priority="16" operator="containsText" dxfId="3" stopIfTrue="1" text="3">
      <formula>NOT(ISERROR(SEARCH("3",K12)))</formula>
    </cfRule>
    <cfRule type="containsText" priority="17" operator="containsText" dxfId="2" stopIfTrue="1" text="4">
      <formula>NOT(ISERROR(SEARCH("4",K12)))</formula>
    </cfRule>
    <cfRule type="containsText" priority="18" operator="containsText" dxfId="1" stopIfTrue="1" text="5">
      <formula>NOT(ISERROR(SEARCH("5",K12)))</formula>
    </cfRule>
  </conditionalFormatting>
  <conditionalFormatting sqref="K13:L13">
    <cfRule type="containsText" priority="7" operator="containsText" dxfId="6" stopIfTrue="1" text="0">
      <formula>NOT(ISERROR(SEARCH("0",K13)))</formula>
    </cfRule>
    <cfRule type="containsText" priority="8" operator="containsText" dxfId="5" stopIfTrue="1" text="1">
      <formula>NOT(ISERROR(SEARCH("1",K13)))</formula>
    </cfRule>
    <cfRule type="containsText" priority="9" operator="containsText" dxfId="4" stopIfTrue="1" text="2">
      <formula>NOT(ISERROR(SEARCH("2",K13)))</formula>
    </cfRule>
    <cfRule type="containsText" priority="10" operator="containsText" dxfId="3" stopIfTrue="1" text="3">
      <formula>NOT(ISERROR(SEARCH("3",K13)))</formula>
    </cfRule>
    <cfRule type="containsText" priority="11" operator="containsText" dxfId="2" stopIfTrue="1" text="4">
      <formula>NOT(ISERROR(SEARCH("4",K13)))</formula>
    </cfRule>
    <cfRule type="containsText" priority="12" operator="containsText" dxfId="1" stopIfTrue="1" text="5">
      <formula>NOT(ISERROR(SEARCH("5",K13)))</formula>
    </cfRule>
  </conditionalFormatting>
  <conditionalFormatting sqref="K14:L14">
    <cfRule type="containsText" priority="1" operator="containsText" dxfId="6" stopIfTrue="1" text="0">
      <formula>NOT(ISERROR(SEARCH("0",K14)))</formula>
    </cfRule>
    <cfRule type="containsText" priority="2" operator="containsText" dxfId="5" stopIfTrue="1" text="1">
      <formula>NOT(ISERROR(SEARCH("1",K14)))</formula>
    </cfRule>
    <cfRule type="containsText" priority="3" operator="containsText" dxfId="4" stopIfTrue="1" text="2">
      <formula>NOT(ISERROR(SEARCH("2",K14)))</formula>
    </cfRule>
    <cfRule type="containsText" priority="4" operator="containsText" dxfId="3" stopIfTrue="1" text="3">
      <formula>NOT(ISERROR(SEARCH("3",K14)))</formula>
    </cfRule>
    <cfRule type="containsText" priority="5" operator="containsText" dxfId="2" stopIfTrue="1" text="4">
      <formula>NOT(ISERROR(SEARCH("4",K14)))</formula>
    </cfRule>
    <cfRule type="containsText" priority="6" operator="containsText" dxfId="1" stopIfTrue="1" text="5">
      <formula>NOT(ISERROR(SEARCH("5",K14)))</formula>
    </cfRule>
  </conditionalFormatting>
  <printOptions horizontalCentered="1"/>
  <pageMargins left="0.7" right="0.7" top="0.75" bottom="0.75" header="0.3" footer="0.3"/>
  <pageSetup orientation="portrait" scale="91"/>
  <legacyDrawing r:id="anysvml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 fitToPage="1"/>
  </sheetPr>
  <dimension ref="A1:Y48"/>
  <sheetViews>
    <sheetView topLeftCell="A12" zoomScaleNormal="100" workbookViewId="0">
      <selection activeCell="C12" sqref="C12:L12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#3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1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12.75" customHeight="1" s="220">
      <c r="A9" s="129" t="n">
        <v>890</v>
      </c>
      <c r="B9" s="284" t="n">
        <v>970</v>
      </c>
      <c r="C9" s="534" t="inlineStr">
        <is>
          <t>18-12%</t>
        </is>
      </c>
      <c r="D9" s="535" t="inlineStr">
        <is>
          <t>3-9%</t>
        </is>
      </c>
      <c r="E9" s="381" t="inlineStr">
        <is>
          <t>Mod gas, gd ROP/Gamma/incr calc cmt, tr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N9" s="133" t="n"/>
      <c r="Q9" s="300" t="n">
        <v>890</v>
      </c>
      <c r="R9" s="284" t="n">
        <v>577.1999999999999</v>
      </c>
      <c r="S9" s="300" t="n">
        <v>111.7</v>
      </c>
      <c r="T9" s="301" t="n"/>
      <c r="U9" s="284" t="n"/>
      <c r="V9" s="300" t="n"/>
      <c r="W9" s="147" t="n"/>
    </row>
    <row r="10">
      <c r="A10" s="129">
        <f>B9</f>
        <v/>
      </c>
      <c r="B10" s="284" t="n">
        <v>1035</v>
      </c>
      <c r="C10" s="534" t="inlineStr">
        <is>
          <t>18-12%</t>
        </is>
      </c>
      <c r="D10" s="535" t="inlineStr">
        <is>
          <t>3-9%</t>
        </is>
      </c>
      <c r="E10" s="381" t="inlineStr">
        <is>
          <t>Incr gas, red calc cmt, occ coal frags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300" t="n">
        <v>1000</v>
      </c>
      <c r="R10" s="284" t="n">
        <v>577.1999999999999</v>
      </c>
      <c r="S10" s="300" t="n">
        <v>111.7</v>
      </c>
      <c r="T10" s="301" t="n"/>
      <c r="U10" s="284" t="n"/>
      <c r="V10" s="300" t="n"/>
      <c r="W10" s="147" t="n"/>
    </row>
    <row r="11">
      <c r="A11" s="129">
        <f>B10</f>
        <v/>
      </c>
      <c r="B11" s="284" t="n">
        <v>1100</v>
      </c>
      <c r="C11" s="534" t="inlineStr">
        <is>
          <t>18-12%</t>
        </is>
      </c>
      <c r="D11" s="535" t="inlineStr">
        <is>
          <t>3-9%</t>
        </is>
      </c>
      <c r="E11" s="381" t="inlineStr">
        <is>
          <t>Red. Gas, incr calc cmt, tr coal frags, &gt;tl</t>
        </is>
      </c>
      <c r="F11" s="536" t="n"/>
      <c r="G11" s="536" t="n"/>
      <c r="H11" s="536" t="n"/>
      <c r="I11" s="536" t="n"/>
      <c r="J11" s="537" t="n"/>
      <c r="K11" s="384" t="n">
        <v>4</v>
      </c>
      <c r="L11" s="537" t="n"/>
      <c r="N11" s="133" t="n"/>
      <c r="Q11" s="300" t="n">
        <v>1100</v>
      </c>
      <c r="R11" s="284" t="n">
        <v>577.1999999999999</v>
      </c>
      <c r="S11" s="300" t="n">
        <v>111.7</v>
      </c>
      <c r="T11" s="301" t="n"/>
      <c r="U11" s="284" t="n"/>
      <c r="V11" s="300" t="n"/>
      <c r="W11" s="147" t="n"/>
    </row>
    <row r="12" ht="12" customHeight="1" s="220">
      <c r="A12" s="129">
        <f>B11</f>
        <v/>
      </c>
      <c r="B12" s="284" t="n">
        <v>1175</v>
      </c>
      <c r="C12" s="534" t="inlineStr">
        <is>
          <t>18-12%</t>
        </is>
      </c>
      <c r="D12" s="535" t="inlineStr">
        <is>
          <t>3-9%</t>
        </is>
      </c>
      <c r="E12" s="381" t="inlineStr">
        <is>
          <t>Incr gas, red calc cmt, occ coal frags, top wdw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300" t="n">
        <v>1200</v>
      </c>
      <c r="R12" s="284" t="n">
        <v>577.1999999999999</v>
      </c>
      <c r="S12" s="300" t="n">
        <v>111.7</v>
      </c>
      <c r="T12" s="301" t="n"/>
      <c r="U12" s="284" t="n"/>
      <c r="V12" s="300" t="n"/>
      <c r="W12" s="147" t="n"/>
    </row>
    <row r="13">
      <c r="A13" s="129">
        <f>B12</f>
        <v/>
      </c>
      <c r="B13" s="284" t="n">
        <v>1220</v>
      </c>
      <c r="C13" s="534" t="inlineStr">
        <is>
          <t>18-12%</t>
        </is>
      </c>
      <c r="D13" s="535" t="inlineStr">
        <is>
          <t>3-9%</t>
        </is>
      </c>
      <c r="E13" s="381" t="inlineStr">
        <is>
          <t>Decr gas, intmt ROP, incr calc stgs, btm wdw.</t>
        </is>
      </c>
      <c r="F13" s="536" t="n"/>
      <c r="G13" s="536" t="n"/>
      <c r="H13" s="536" t="n"/>
      <c r="I13" s="536" t="n"/>
      <c r="J13" s="537" t="n"/>
      <c r="K13" s="414" t="n">
        <v>4</v>
      </c>
      <c r="L13" s="536" t="n"/>
      <c r="N13" s="133" t="n"/>
      <c r="Q13" s="300" t="n">
        <v>1300</v>
      </c>
      <c r="R13" s="284" t="n">
        <v>577.4</v>
      </c>
      <c r="S13" s="300" t="n">
        <v>111.5</v>
      </c>
      <c r="T13" s="301" t="n"/>
      <c r="U13" s="284" t="n"/>
      <c r="V13" s="300" t="n"/>
      <c r="W13" s="147" t="n"/>
    </row>
    <row r="14">
      <c r="A14" s="129">
        <f>B13</f>
        <v/>
      </c>
      <c r="B14" s="284" t="n">
        <v>1275</v>
      </c>
      <c r="C14" s="534" t="inlineStr">
        <is>
          <t>15-12%</t>
        </is>
      </c>
      <c r="D14" s="535" t="inlineStr">
        <is>
          <t>3-9%</t>
        </is>
      </c>
      <c r="E14" s="381" t="inlineStr">
        <is>
          <t>W dev tt stks, incr cacl, com coal stgs, &lt;tl</t>
        </is>
      </c>
      <c r="F14" s="536" t="n"/>
      <c r="G14" s="536" t="n"/>
      <c r="H14" s="536" t="n"/>
      <c r="I14" s="536" t="n"/>
      <c r="J14" s="537" t="n"/>
      <c r="K14" s="384" t="n">
        <v>3</v>
      </c>
      <c r="L14" s="537" t="n"/>
      <c r="N14" s="133" t="n"/>
      <c r="Q14" s="300" t="n">
        <v>1400</v>
      </c>
      <c r="R14" s="284" t="n">
        <v>577.4</v>
      </c>
      <c r="S14" s="300" t="n">
        <v>111.5</v>
      </c>
      <c r="T14" s="301" t="n"/>
      <c r="U14" s="284" t="n"/>
      <c r="V14" s="300" t="n"/>
      <c r="W14" s="148" t="n"/>
    </row>
    <row r="15">
      <c r="A15" s="129">
        <f>B14</f>
        <v/>
      </c>
      <c r="B15" s="284" t="n">
        <v>1325</v>
      </c>
      <c r="C15" s="534" t="inlineStr">
        <is>
          <t>18-12%</t>
        </is>
      </c>
      <c r="D15" s="535" t="inlineStr">
        <is>
          <t>3-9%</t>
        </is>
      </c>
      <c r="E15" s="381" t="inlineStr">
        <is>
          <t>Low gas, intmt ROP, incr calc stgs, btm wdw.</t>
        </is>
      </c>
      <c r="F15" s="536" t="n"/>
      <c r="G15" s="536" t="n"/>
      <c r="H15" s="536" t="n"/>
      <c r="I15" s="536" t="n"/>
      <c r="J15" s="537" t="n"/>
      <c r="K15" s="414" t="n">
        <v>4</v>
      </c>
      <c r="L15" s="536" t="n"/>
      <c r="N15" s="133" t="n"/>
      <c r="Q15" s="300" t="n">
        <v>1500</v>
      </c>
      <c r="R15" s="284" t="n">
        <v>577.4</v>
      </c>
      <c r="S15" s="300" t="n">
        <v>111.5</v>
      </c>
      <c r="T15" s="301" t="n"/>
      <c r="U15" s="284" t="n"/>
      <c r="V15" s="300" t="n"/>
      <c r="W15" s="147" t="n"/>
    </row>
    <row r="16">
      <c r="A16" s="129">
        <f>B15</f>
        <v/>
      </c>
      <c r="B16" s="284" t="n">
        <v>1415</v>
      </c>
      <c r="C16" s="534" t="n">
        <v>0.18</v>
      </c>
      <c r="D16" s="535" t="n">
        <v>0.12</v>
      </c>
      <c r="E16" s="381" t="inlineStr">
        <is>
          <t>Incr gas, red calc cmt, occ coal frags, top wdw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300" t="n">
        <v>1600</v>
      </c>
      <c r="R16" s="284" t="n">
        <v>577.9</v>
      </c>
      <c r="S16" s="300" t="n">
        <v>111</v>
      </c>
      <c r="T16" s="301" t="n"/>
      <c r="U16" s="284" t="n"/>
      <c r="V16" s="300" t="n"/>
      <c r="W16" s="147" t="n"/>
    </row>
    <row r="17">
      <c r="A17" s="129">
        <f>B16</f>
        <v/>
      </c>
      <c r="B17" s="284" t="n">
        <v>1530</v>
      </c>
      <c r="C17" s="534" t="inlineStr">
        <is>
          <t>18-12%</t>
        </is>
      </c>
      <c r="D17" s="535" t="inlineStr">
        <is>
          <t>3-9%</t>
        </is>
      </c>
      <c r="E17" s="381" t="inlineStr">
        <is>
          <t>Decr gas, intmt ROP, incr calc stgs, &lt;TL.</t>
        </is>
      </c>
      <c r="F17" s="536" t="n"/>
      <c r="G17" s="536" t="n"/>
      <c r="H17" s="536" t="n"/>
      <c r="I17" s="536" t="n"/>
      <c r="J17" s="537" t="n"/>
      <c r="K17" s="414" t="n">
        <v>4</v>
      </c>
      <c r="L17" s="536" t="n"/>
      <c r="N17" s="133" t="n"/>
      <c r="Q17" s="300" t="n">
        <v>1700</v>
      </c>
      <c r="R17" s="284" t="n">
        <v>578.9</v>
      </c>
      <c r="S17" s="300" t="n">
        <v>110</v>
      </c>
      <c r="T17" s="301" t="n"/>
      <c r="U17" s="284" t="n"/>
      <c r="V17" s="300" t="n"/>
      <c r="W17" s="147" t="n"/>
    </row>
    <row r="18">
      <c r="A18" s="129">
        <f>B17</f>
        <v/>
      </c>
      <c r="B18" s="284" t="n">
        <v>1570</v>
      </c>
      <c r="C18" s="534" t="n">
        <v>0.18</v>
      </c>
      <c r="D18" s="535" t="n">
        <v>0.12</v>
      </c>
      <c r="E18" s="381" t="inlineStr">
        <is>
          <t>Incr gas, red calc cmt, occ coal frags, &lt;TL</t>
        </is>
      </c>
      <c r="F18" s="536" t="n"/>
      <c r="G18" s="536" t="n"/>
      <c r="H18" s="536" t="n"/>
      <c r="I18" s="536" t="n"/>
      <c r="J18" s="537" t="n"/>
      <c r="K18" s="384" t="n">
        <v>4</v>
      </c>
      <c r="L18" s="537" t="n"/>
      <c r="N18" s="133" t="n"/>
      <c r="Q18" s="300" t="n">
        <v>1800</v>
      </c>
      <c r="R18" s="284" t="n">
        <v>579.9</v>
      </c>
      <c r="S18" s="300" t="n">
        <v>109</v>
      </c>
      <c r="T18" s="301" t="n"/>
      <c r="U18" s="284" t="n"/>
      <c r="V18" s="300" t="n"/>
      <c r="W18" s="147" t="n"/>
    </row>
    <row r="19" ht="12.75" customHeight="1" s="220">
      <c r="A19" s="129">
        <f>B18</f>
        <v/>
      </c>
      <c r="B19" s="284" t="n">
        <v>1630</v>
      </c>
      <c r="C19" s="534" t="inlineStr">
        <is>
          <t>18-12%</t>
        </is>
      </c>
      <c r="D19" s="535" t="inlineStr">
        <is>
          <t>3-9%</t>
        </is>
      </c>
      <c r="E19" s="381" t="inlineStr">
        <is>
          <t>Decr gas, intmt ROP, incr calc stgs, &lt;TL.</t>
        </is>
      </c>
      <c r="F19" s="536" t="n"/>
      <c r="G19" s="536" t="n"/>
      <c r="H19" s="536" t="n"/>
      <c r="I19" s="536" t="n"/>
      <c r="J19" s="537" t="n"/>
      <c r="K19" s="414" t="n">
        <v>4</v>
      </c>
      <c r="L19" s="536" t="n"/>
      <c r="N19" s="133" t="n"/>
      <c r="Q19" s="300" t="n">
        <v>1900</v>
      </c>
      <c r="R19" s="284" t="n">
        <v>580.9</v>
      </c>
      <c r="S19" s="300" t="n">
        <v>108</v>
      </c>
      <c r="T19" s="301" t="n"/>
      <c r="U19" s="284" t="n"/>
      <c r="V19" s="300" t="n"/>
      <c r="W19" s="147" t="n"/>
    </row>
    <row r="20" ht="12.75" customHeight="1" s="220">
      <c r="A20" s="129">
        <f>B19</f>
        <v/>
      </c>
      <c r="B20" s="284" t="n">
        <v>1655</v>
      </c>
      <c r="C20" s="534" t="inlineStr">
        <is>
          <t>15-12%</t>
        </is>
      </c>
      <c r="D20" s="535" t="inlineStr">
        <is>
          <t>3-9%</t>
        </is>
      </c>
      <c r="E20" s="381" t="inlineStr">
        <is>
          <t>Inc calc cmt, dec gas, drop gamma</t>
        </is>
      </c>
      <c r="F20" s="536" t="n"/>
      <c r="G20" s="536" t="n"/>
      <c r="H20" s="536" t="n"/>
      <c r="I20" s="536" t="n"/>
      <c r="J20" s="537" t="n"/>
      <c r="K20" s="384" t="n">
        <v>3</v>
      </c>
      <c r="L20" s="537" t="n"/>
      <c r="N20" s="133" t="n"/>
      <c r="Q20" s="300" t="n">
        <v>2000</v>
      </c>
      <c r="R20" s="284" t="n">
        <v>580.9</v>
      </c>
      <c r="S20" s="300" t="n">
        <v>108</v>
      </c>
      <c r="T20" s="301" t="n"/>
      <c r="U20" s="284" t="n"/>
      <c r="V20" s="300" t="n"/>
      <c r="W20" s="147" t="n"/>
    </row>
    <row r="21" ht="12.75" customHeight="1" s="220">
      <c r="A21" s="129">
        <f>B20</f>
        <v/>
      </c>
      <c r="B21" s="284" t="n">
        <v>1710</v>
      </c>
      <c r="C21" s="534" t="inlineStr">
        <is>
          <t>18-12%</t>
        </is>
      </c>
      <c r="D21" s="535" t="inlineStr">
        <is>
          <t>3-9%</t>
        </is>
      </c>
      <c r="E21" s="381" t="inlineStr">
        <is>
          <t>Inc gas, tr carb frag, occ calc stgs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N21" s="133" t="n"/>
      <c r="Q21" s="300" t="n">
        <v>2100</v>
      </c>
      <c r="R21" s="284" t="n">
        <v>580.9</v>
      </c>
      <c r="S21" s="300" t="n">
        <v>108</v>
      </c>
      <c r="T21" s="301" t="n"/>
      <c r="U21" s="284" t="n"/>
      <c r="V21" s="300" t="n"/>
      <c r="W21" s="147" t="n"/>
    </row>
    <row r="22" ht="12.75" customHeight="1" s="220">
      <c r="A22" s="129">
        <f>B21</f>
        <v/>
      </c>
      <c r="B22" s="284" t="n">
        <v>1785</v>
      </c>
      <c r="C22" s="534" t="inlineStr">
        <is>
          <t>15-12%</t>
        </is>
      </c>
      <c r="D22" s="535" t="inlineStr">
        <is>
          <t>3-6%</t>
        </is>
      </c>
      <c r="E22" s="381" t="inlineStr">
        <is>
          <t>dec gas, inc calc cmt stgs, btm wdw</t>
        </is>
      </c>
      <c r="F22" s="536" t="n"/>
      <c r="G22" s="536" t="n"/>
      <c r="H22" s="536" t="n"/>
      <c r="I22" s="536" t="n"/>
      <c r="J22" s="537" t="n"/>
      <c r="K22" s="414" t="n">
        <v>3</v>
      </c>
      <c r="L22" s="536" t="n"/>
      <c r="N22" s="133" t="n"/>
      <c r="Q22" s="300" t="n">
        <v>2200</v>
      </c>
      <c r="R22" s="284" t="n">
        <v>580.9</v>
      </c>
      <c r="S22" s="300" t="n">
        <v>108</v>
      </c>
      <c r="T22" s="301" t="n"/>
      <c r="U22" s="284" t="n"/>
      <c r="V22" s="300" t="n"/>
      <c r="W22" s="147" t="n"/>
    </row>
    <row r="23" ht="12.75" customHeight="1" s="220">
      <c r="A23" s="129">
        <f>B22</f>
        <v/>
      </c>
      <c r="B23" s="284" t="n">
        <v>1880</v>
      </c>
      <c r="C23" s="534" t="inlineStr">
        <is>
          <t>18-12%</t>
        </is>
      </c>
      <c r="D23" s="535" t="inlineStr">
        <is>
          <t>3-9%</t>
        </is>
      </c>
      <c r="E23" s="540" t="inlineStr">
        <is>
          <t>Incr gas, red calc cmt, occ coal frags, top wdw</t>
        </is>
      </c>
      <c r="F23" s="536" t="n"/>
      <c r="G23" s="536" t="n"/>
      <c r="H23" s="536" t="n"/>
      <c r="I23" s="536" t="n"/>
      <c r="J23" s="541" t="n"/>
      <c r="K23" s="384" t="n">
        <v>4</v>
      </c>
      <c r="L23" s="537" t="n"/>
      <c r="N23" s="133" t="n"/>
      <c r="Q23" s="300" t="n">
        <v>2300</v>
      </c>
      <c r="R23" s="284" t="n">
        <v>580.9</v>
      </c>
      <c r="S23" s="300" t="n">
        <v>108</v>
      </c>
      <c r="T23" s="301" t="n"/>
      <c r="U23" s="284" t="n"/>
      <c r="V23" s="300" t="n"/>
      <c r="W23" s="147" t="n"/>
    </row>
    <row r="24" ht="15" customHeight="1" s="220">
      <c r="A24" s="129">
        <f>B23</f>
        <v/>
      </c>
      <c r="B24" s="284" t="n">
        <v>1940</v>
      </c>
      <c r="C24" s="534" t="inlineStr">
        <is>
          <t>18-12%</t>
        </is>
      </c>
      <c r="D24" s="535" t="inlineStr">
        <is>
          <t>3-9%</t>
        </is>
      </c>
      <c r="E24" s="381" t="inlineStr">
        <is>
          <t>Decr gas, good ROP, occ calc stgs.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300" t="n">
        <v>2400</v>
      </c>
      <c r="R24" s="284" t="n">
        <v>580.9</v>
      </c>
      <c r="S24" s="300" t="n">
        <v>108</v>
      </c>
      <c r="T24" s="301" t="n"/>
      <c r="U24" s="284" t="n"/>
      <c r="V24" s="300" t="n"/>
      <c r="W24" s="147" t="n"/>
    </row>
    <row r="25" ht="23.25" customHeight="1" s="220">
      <c r="A25" s="129">
        <f>B24</f>
        <v/>
      </c>
      <c r="B25" s="284" t="n">
        <v>2060</v>
      </c>
      <c r="C25" s="534" t="inlineStr">
        <is>
          <t>18-15%</t>
        </is>
      </c>
      <c r="D25" s="535" t="inlineStr">
        <is>
          <t>3-6%</t>
        </is>
      </c>
      <c r="E25" s="381" t="inlineStr">
        <is>
          <t>Inc gas, good ROP, occ mod calc cmt, mid 60's to low 70's Gamma</t>
        </is>
      </c>
      <c r="F25" s="536" t="n"/>
      <c r="G25" s="536" t="n"/>
      <c r="H25" s="536" t="n"/>
      <c r="I25" s="536" t="n"/>
      <c r="J25" s="537" t="n"/>
      <c r="K25" s="384" t="n">
        <v>4</v>
      </c>
      <c r="L25" s="537" t="n"/>
      <c r="N25" s="133" t="n"/>
      <c r="Q25" s="300" t="n">
        <v>2500</v>
      </c>
      <c r="R25" s="284" t="n">
        <v>580.9</v>
      </c>
      <c r="S25" s="300" t="n">
        <v>108</v>
      </c>
      <c r="T25" s="301" t="n"/>
      <c r="U25" s="284" t="n"/>
      <c r="V25" s="300" t="n"/>
      <c r="W25" s="147" t="n"/>
    </row>
    <row r="26" ht="23.25" customHeight="1" s="220">
      <c r="A26" s="129">
        <f>B25</f>
        <v/>
      </c>
      <c r="B26" s="284" t="n">
        <v>2200</v>
      </c>
      <c r="C26" s="534" t="inlineStr">
        <is>
          <t>18-15%</t>
        </is>
      </c>
      <c r="D26" s="535" t="inlineStr">
        <is>
          <t>3-9%</t>
        </is>
      </c>
      <c r="E26" s="381" t="inlineStr">
        <is>
          <t>Good ROP, High gas gamma mid to high 60's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300" t="n">
        <v>2550</v>
      </c>
      <c r="R26" s="284" t="n">
        <v>580.9</v>
      </c>
      <c r="S26" s="300" t="n">
        <v>108</v>
      </c>
      <c r="T26" s="301" t="n"/>
      <c r="U26" s="284" t="n"/>
      <c r="V26" s="300" t="n"/>
      <c r="W26" s="147" t="n"/>
    </row>
    <row r="27" ht="16.5" customHeight="1" s="220">
      <c r="A27" s="129">
        <f>B26</f>
        <v/>
      </c>
      <c r="B27" s="284" t="n">
        <v>2245</v>
      </c>
      <c r="C27" s="534" t="inlineStr">
        <is>
          <t>18-12%</t>
        </is>
      </c>
      <c r="D27" s="535" t="inlineStr">
        <is>
          <t>3-6%</t>
        </is>
      </c>
      <c r="E27" s="381" t="inlineStr">
        <is>
          <t>Inc sliding dec ROP &amp; gas, occ calc conc</t>
        </is>
      </c>
      <c r="F27" s="536" t="n"/>
      <c r="G27" s="536" t="n"/>
      <c r="H27" s="536" t="n"/>
      <c r="I27" s="536" t="n"/>
      <c r="J27" s="537" t="n"/>
      <c r="K27" s="384" t="n">
        <v>4</v>
      </c>
      <c r="L27" s="537" t="n"/>
      <c r="N27" s="133" t="n"/>
      <c r="Q27" s="300" t="n"/>
      <c r="R27" s="284" t="n"/>
      <c r="S27" s="300" t="n"/>
      <c r="T27" s="301" t="n"/>
      <c r="U27" s="284" t="n"/>
      <c r="V27" s="300" t="n"/>
      <c r="W27" s="147" t="n"/>
    </row>
    <row r="28" ht="18.75" customHeight="1" s="220">
      <c r="A28" s="129">
        <f>B27</f>
        <v/>
      </c>
      <c r="B28" s="284" t="n">
        <v>2320</v>
      </c>
      <c r="C28" s="534" t="inlineStr">
        <is>
          <t>18-15%</t>
        </is>
      </c>
      <c r="D28" s="535" t="inlineStr">
        <is>
          <t>3-9%</t>
        </is>
      </c>
      <c r="E28" s="381" t="inlineStr">
        <is>
          <t>Mod gas, gd ROP/Gamma, mnr calc cmt, TL-btm wdw</t>
        </is>
      </c>
      <c r="F28" s="536" t="n"/>
      <c r="G28" s="536" t="n"/>
      <c r="H28" s="536" t="n"/>
      <c r="I28" s="536" t="n"/>
      <c r="J28" s="537" t="n"/>
      <c r="K28" s="384" t="n">
        <v>4</v>
      </c>
      <c r="L28" s="537" t="n"/>
      <c r="N28" s="133" t="n"/>
      <c r="Q28" s="300" t="n"/>
      <c r="R28" s="284" t="n"/>
      <c r="S28" s="300" t="n"/>
      <c r="T28" s="301" t="n"/>
      <c r="U28" s="284" t="n"/>
      <c r="V28" s="300" t="n"/>
      <c r="W28" s="147" t="n"/>
    </row>
    <row r="29" ht="18" customHeight="1" s="220">
      <c r="A29" s="129">
        <f>B28</f>
        <v/>
      </c>
      <c r="B29" s="284" t="n">
        <v>2360</v>
      </c>
      <c r="C29" s="534" t="inlineStr">
        <is>
          <t>15-12%</t>
        </is>
      </c>
      <c r="D29" s="535" t="inlineStr">
        <is>
          <t>3-9%</t>
        </is>
      </c>
      <c r="E29" s="381" t="inlineStr">
        <is>
          <t>W dev tt stks, incr cacl, com coal stgs, &lt;tl</t>
        </is>
      </c>
      <c r="F29" s="536" t="n"/>
      <c r="G29" s="536" t="n"/>
      <c r="H29" s="536" t="n"/>
      <c r="I29" s="536" t="n"/>
      <c r="J29" s="537" t="n"/>
      <c r="K29" s="384" t="n">
        <v>3</v>
      </c>
      <c r="L29" s="537" t="n"/>
      <c r="N29" s="133" t="n"/>
      <c r="Q29" s="300" t="n"/>
      <c r="R29" s="284" t="n"/>
      <c r="S29" s="300" t="n"/>
      <c r="T29" s="301" t="n"/>
      <c r="U29" s="284" t="n"/>
      <c r="V29" s="300" t="n"/>
      <c r="W29" s="147" t="n"/>
    </row>
    <row r="30" ht="14.25" customHeight="1" s="220">
      <c r="A30" s="129">
        <f>B29</f>
        <v/>
      </c>
      <c r="B30" s="284" t="n">
        <v>2465</v>
      </c>
      <c r="C30" s="534" t="n">
        <v>0.18</v>
      </c>
      <c r="D30" s="535" t="n">
        <v>0.15</v>
      </c>
      <c r="E30" s="381" t="inlineStr">
        <is>
          <t>Gd gas/Rop, v mnr calc cmt, on TL</t>
        </is>
      </c>
      <c r="F30" s="536" t="n"/>
      <c r="G30" s="536" t="n"/>
      <c r="H30" s="536" t="n"/>
      <c r="I30" s="536" t="n"/>
      <c r="J30" s="537" t="n"/>
      <c r="K30" s="384" t="n">
        <v>4</v>
      </c>
      <c r="L30" s="537" t="n"/>
      <c r="N30" s="133" t="n"/>
      <c r="Q30" s="300" t="n"/>
      <c r="R30" s="284" t="n"/>
      <c r="S30" s="300" t="n"/>
      <c r="T30" s="301" t="n"/>
      <c r="U30" s="284" t="n"/>
      <c r="V30" s="300" t="n"/>
      <c r="W30" s="147" t="n"/>
    </row>
    <row r="31" ht="12" customHeight="1" s="220">
      <c r="A31" s="129">
        <f>B30</f>
        <v/>
      </c>
      <c r="B31" s="284" t="n">
        <v>2510</v>
      </c>
      <c r="C31" s="534" t="inlineStr">
        <is>
          <t>18-12%</t>
        </is>
      </c>
      <c r="D31" s="535" t="inlineStr">
        <is>
          <t>3-9%</t>
        </is>
      </c>
      <c r="E31" s="381" t="inlineStr">
        <is>
          <t>Decr gas, intmt ROP, incr calc stgs, &lt;TL.</t>
        </is>
      </c>
      <c r="F31" s="536" t="n"/>
      <c r="G31" s="536" t="n"/>
      <c r="H31" s="536" t="n"/>
      <c r="I31" s="536" t="n"/>
      <c r="J31" s="537" t="n"/>
      <c r="K31" s="414" t="n">
        <v>4</v>
      </c>
      <c r="L31" s="536" t="n"/>
      <c r="N31" s="133" t="n"/>
      <c r="Q31" s="300" t="n"/>
      <c r="R31" s="284" t="n"/>
      <c r="S31" s="300" t="n"/>
      <c r="T31" s="301" t="n"/>
      <c r="U31" s="284" t="n"/>
      <c r="V31" s="300" t="n"/>
      <c r="W31" s="147" t="n"/>
    </row>
    <row r="32">
      <c r="A32" s="129" t="n">
        <v>2510</v>
      </c>
      <c r="B32" s="284" t="n">
        <v>2550</v>
      </c>
      <c r="C32" s="534" t="n">
        <v>0.18</v>
      </c>
      <c r="D32" s="535" t="n">
        <v>0.12</v>
      </c>
      <c r="E32" s="381" t="inlineStr">
        <is>
          <t>Gd gas/Rop, v mnr calc cmt, on TL</t>
        </is>
      </c>
      <c r="F32" s="536" t="n"/>
      <c r="G32" s="536" t="n"/>
      <c r="H32" s="536" t="n"/>
      <c r="I32" s="536" t="n"/>
      <c r="J32" s="537" t="n"/>
      <c r="K32" s="384" t="n">
        <v>4</v>
      </c>
      <c r="L32" s="537" t="n"/>
      <c r="N32" s="133" t="n"/>
      <c r="Q32" s="300" t="n"/>
      <c r="R32" s="284" t="n"/>
      <c r="S32" s="300" t="n"/>
      <c r="T32" s="301" t="n"/>
      <c r="U32" s="284" t="n"/>
      <c r="V32" s="300" t="n"/>
      <c r="W32" s="147" t="n"/>
    </row>
    <row r="33" ht="12.75" customHeight="1" s="220">
      <c r="A33" s="389" t="inlineStr">
        <is>
          <t>Reservoir Quality / Representative Sample</t>
        </is>
      </c>
      <c r="B33" s="526" t="n"/>
      <c r="C33" s="526" t="n"/>
      <c r="D33" s="526" t="n"/>
      <c r="E33" s="526" t="n"/>
      <c r="F33" s="526" t="n"/>
      <c r="G33" s="526" t="n"/>
      <c r="H33" s="526" t="n"/>
      <c r="I33" s="526" t="n"/>
      <c r="J33" s="526" t="n"/>
      <c r="K33" s="526" t="n"/>
      <c r="L33" s="526" t="n"/>
    </row>
    <row r="34" ht="12.75" customHeight="1" s="220">
      <c r="A34" s="110" t="n">
        <v>5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4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3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110" t="n">
        <v>2</v>
      </c>
      <c r="B37" s="412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>
      <c r="A38" s="110" t="n">
        <v>1</v>
      </c>
      <c r="B38" s="412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>
      <c r="A39" s="110" t="n">
        <v>0</v>
      </c>
      <c r="B39" s="412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7" t="n"/>
    </row>
    <row r="40">
      <c r="A40" s="410" t="n"/>
      <c r="B40" s="526" t="n"/>
      <c r="C40" s="526" t="n"/>
      <c r="D40" s="526" t="n"/>
      <c r="E40" s="526" t="n"/>
      <c r="F40" s="526" t="n"/>
      <c r="G40" s="526" t="n"/>
      <c r="H40" s="526" t="n"/>
      <c r="I40" s="526" t="n"/>
      <c r="J40" s="526" t="n"/>
      <c r="K40" s="526" t="n"/>
      <c r="L40" s="526" t="n"/>
    </row>
    <row r="41">
      <c r="A41" s="407" t="inlineStr">
        <is>
          <t>Geologist Notes / Updates</t>
        </is>
      </c>
      <c r="B41" s="528" t="n"/>
      <c r="C41" s="528" t="n"/>
      <c r="D41" s="528" t="n"/>
      <c r="E41" s="528" t="n"/>
      <c r="F41" s="528" t="n"/>
      <c r="G41" s="528" t="n"/>
      <c r="H41" s="528" t="n"/>
      <c r="I41" s="528" t="n"/>
      <c r="J41" s="528" t="n"/>
      <c r="K41" s="528" t="n"/>
      <c r="L41" s="528" t="n"/>
    </row>
    <row r="42">
      <c r="A42" s="408" t="n"/>
      <c r="B42" s="225" t="n"/>
      <c r="C42" s="225" t="n"/>
      <c r="D42" s="225" t="n"/>
      <c r="E42" s="225" t="n"/>
      <c r="F42" s="225" t="n"/>
      <c r="G42" s="225" t="n"/>
      <c r="H42" s="225" t="n"/>
      <c r="I42" s="225" t="n"/>
      <c r="J42" s="225" t="n"/>
      <c r="K42" s="225" t="n"/>
      <c r="L42" s="225" t="n"/>
    </row>
    <row r="43">
      <c r="A43" s="409" t="n"/>
      <c r="B43" s="538" t="n"/>
      <c r="C43" s="538" t="n"/>
      <c r="D43" s="538" t="n"/>
      <c r="E43" s="538" t="n"/>
      <c r="F43" s="538" t="n"/>
      <c r="G43" s="538" t="n"/>
      <c r="H43" s="538" t="n"/>
      <c r="I43" s="538" t="n"/>
      <c r="J43" s="538" t="n"/>
      <c r="K43" s="538" t="n"/>
      <c r="L43" s="539" t="n"/>
    </row>
    <row r="44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>
      <c r="A45" s="405" t="n"/>
      <c r="B45" s="536" t="n"/>
      <c r="C45" s="536" t="n"/>
      <c r="D45" s="536" t="n"/>
      <c r="E45" s="536" t="n"/>
      <c r="F45" s="536" t="n"/>
      <c r="G45" s="536" t="n"/>
      <c r="H45" s="536" t="n"/>
      <c r="I45" s="536" t="n"/>
      <c r="J45" s="536" t="n"/>
      <c r="K45" s="536" t="n"/>
      <c r="L45" s="537" t="n"/>
    </row>
    <row r="46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>
      <c r="A48" s="406" t="n"/>
      <c r="B48" s="225" t="n"/>
      <c r="C48" s="225" t="n"/>
      <c r="D48" s="225" t="n"/>
      <c r="E48" s="225" t="n"/>
      <c r="F48" s="225" t="n"/>
      <c r="G48" s="225" t="n"/>
      <c r="H48" s="225" t="n"/>
      <c r="I48" s="225" t="n"/>
      <c r="J48" s="225" t="n"/>
      <c r="K48" s="225" t="n"/>
      <c r="L48" s="225" t="n"/>
    </row>
  </sheetData>
  <mergeCells count="79">
    <mergeCell ref="A48:L48"/>
    <mergeCell ref="B37:L37"/>
    <mergeCell ref="B38:L38"/>
    <mergeCell ref="B39:L39"/>
    <mergeCell ref="A40:L40"/>
    <mergeCell ref="A41:L41"/>
    <mergeCell ref="A42:L42"/>
    <mergeCell ref="A43:L43"/>
    <mergeCell ref="A44:L44"/>
    <mergeCell ref="A45:L45"/>
    <mergeCell ref="A46:L46"/>
    <mergeCell ref="A47:L47"/>
    <mergeCell ref="E17:J17"/>
    <mergeCell ref="K17:L17"/>
    <mergeCell ref="E18:J18"/>
    <mergeCell ref="K18:L18"/>
    <mergeCell ref="E19:J19"/>
    <mergeCell ref="K19:L19"/>
    <mergeCell ref="B36:L36"/>
    <mergeCell ref="A33:L33"/>
    <mergeCell ref="B34:L34"/>
    <mergeCell ref="B35:L35"/>
    <mergeCell ref="E15:J15"/>
    <mergeCell ref="K15:L15"/>
    <mergeCell ref="E16:J16"/>
    <mergeCell ref="K16:L16"/>
    <mergeCell ref="E30:J30"/>
    <mergeCell ref="K30:L30"/>
    <mergeCell ref="E29:J29"/>
    <mergeCell ref="K29:L29"/>
    <mergeCell ref="E28:J28"/>
    <mergeCell ref="K28:L28"/>
    <mergeCell ref="E22:J22"/>
    <mergeCell ref="K22:L22"/>
    <mergeCell ref="Q6:V6"/>
    <mergeCell ref="A7:B7"/>
    <mergeCell ref="C7:D7"/>
    <mergeCell ref="E7:J7"/>
    <mergeCell ref="K7:L7"/>
    <mergeCell ref="Q7:S7"/>
    <mergeCell ref="T7:V7"/>
    <mergeCell ref="A6:L6"/>
    <mergeCell ref="E10:J10"/>
    <mergeCell ref="K10:L10"/>
    <mergeCell ref="E11:J11"/>
    <mergeCell ref="K11:L11"/>
    <mergeCell ref="E12:J12"/>
    <mergeCell ref="E13:J13"/>
    <mergeCell ref="K13:L13"/>
    <mergeCell ref="K12:L12"/>
    <mergeCell ref="E14:J14"/>
    <mergeCell ref="K14:L14"/>
    <mergeCell ref="A1:L1"/>
    <mergeCell ref="A2:L2"/>
    <mergeCell ref="A3:L3"/>
    <mergeCell ref="A4:L4"/>
    <mergeCell ref="A5:L5"/>
    <mergeCell ref="E8:J8"/>
    <mergeCell ref="K8:L8"/>
    <mergeCell ref="E9:J9"/>
    <mergeCell ref="K9:L9"/>
    <mergeCell ref="K27:L27"/>
    <mergeCell ref="E26:J26"/>
    <mergeCell ref="K26:L26"/>
    <mergeCell ref="E25:J25"/>
    <mergeCell ref="K25:L25"/>
    <mergeCell ref="K21:L21"/>
    <mergeCell ref="E20:J20"/>
    <mergeCell ref="K20:L20"/>
    <mergeCell ref="E24:J24"/>
    <mergeCell ref="K24:L24"/>
    <mergeCell ref="E23:J23"/>
    <mergeCell ref="K23:L23"/>
    <mergeCell ref="E31:J31"/>
    <mergeCell ref="K31:L31"/>
    <mergeCell ref="E32:J32"/>
    <mergeCell ref="E21:J21"/>
    <mergeCell ref="E27:J27"/>
    <mergeCell ref="K32:L32"/>
  </mergeCells>
  <conditionalFormatting sqref="A34:A39 K24:L28 K30:L30">
    <cfRule type="containsText" priority="1057" operator="containsText" dxfId="6" stopIfTrue="1" text="0">
      <formula>NOT(ISERROR(SEARCH("0",A24)))</formula>
    </cfRule>
    <cfRule type="containsText" priority="1058" operator="containsText" dxfId="5" stopIfTrue="1" text="1">
      <formula>NOT(ISERROR(SEARCH("1",A24)))</formula>
    </cfRule>
    <cfRule type="containsText" priority="1059" operator="containsText" dxfId="4" stopIfTrue="1" text="2">
      <formula>NOT(ISERROR(SEARCH("2",A24)))</formula>
    </cfRule>
    <cfRule type="containsText" priority="1060" operator="containsText" dxfId="3" stopIfTrue="1" text="3">
      <formula>NOT(ISERROR(SEARCH("3",A24)))</formula>
    </cfRule>
    <cfRule type="containsText" priority="1061" operator="containsText" dxfId="2" stopIfTrue="1" text="4">
      <formula>NOT(ISERROR(SEARCH("4",A24)))</formula>
    </cfRule>
    <cfRule type="containsText" priority="1062" operator="containsText" dxfId="1" stopIfTrue="1" text="5">
      <formula>NOT(ISERROR(SEARCH("5",A24)))</formula>
    </cfRule>
  </conditionalFormatting>
  <conditionalFormatting sqref="K13:L13">
    <cfRule type="containsText" priority="403" operator="containsText" dxfId="6" stopIfTrue="1" text="0">
      <formula>NOT(ISERROR(SEARCH("0",K13)))</formula>
    </cfRule>
    <cfRule type="containsText" priority="404" operator="containsText" dxfId="5" stopIfTrue="1" text="1">
      <formula>NOT(ISERROR(SEARCH("1",K13)))</formula>
    </cfRule>
    <cfRule type="containsText" priority="405" operator="containsText" dxfId="4" stopIfTrue="1" text="2">
      <formula>NOT(ISERROR(SEARCH("2",K13)))</formula>
    </cfRule>
    <cfRule type="containsText" priority="406" operator="containsText" dxfId="3" stopIfTrue="1" text="3">
      <formula>NOT(ISERROR(SEARCH("3",K13)))</formula>
    </cfRule>
    <cfRule type="containsText" priority="407" operator="containsText" dxfId="2" stopIfTrue="1" text="4">
      <formula>NOT(ISERROR(SEARCH("4",K13)))</formula>
    </cfRule>
    <cfRule type="containsText" priority="408" operator="containsText" dxfId="1" stopIfTrue="1" text="5">
      <formula>NOT(ISERROR(SEARCH("5",K13)))</formula>
    </cfRule>
  </conditionalFormatting>
  <conditionalFormatting sqref="K14:L14">
    <cfRule type="containsText" priority="253" operator="containsText" dxfId="6" stopIfTrue="1" text="0">
      <formula>NOT(ISERROR(SEARCH("0",K14)))</formula>
    </cfRule>
    <cfRule type="containsText" priority="254" operator="containsText" dxfId="5" stopIfTrue="1" text="1">
      <formula>NOT(ISERROR(SEARCH("1",K14)))</formula>
    </cfRule>
    <cfRule type="containsText" priority="255" operator="containsText" dxfId="4" stopIfTrue="1" text="2">
      <formula>NOT(ISERROR(SEARCH("2",K14)))</formula>
    </cfRule>
    <cfRule type="containsText" priority="256" operator="containsText" dxfId="3" stopIfTrue="1" text="3">
      <formula>NOT(ISERROR(SEARCH("3",K14)))</formula>
    </cfRule>
    <cfRule type="containsText" priority="257" operator="containsText" dxfId="2" stopIfTrue="1" text="4">
      <formula>NOT(ISERROR(SEARCH("4",K14)))</formula>
    </cfRule>
    <cfRule type="containsText" priority="258" operator="containsText" dxfId="1" stopIfTrue="1" text="5">
      <formula>NOT(ISERROR(SEARCH("5",K14)))</formula>
    </cfRule>
  </conditionalFormatting>
  <conditionalFormatting sqref="K10:L10">
    <cfRule type="containsText" priority="181" operator="containsText" dxfId="6" stopIfTrue="1" text="0">
      <formula>NOT(ISERROR(SEARCH("0",K10)))</formula>
    </cfRule>
    <cfRule type="containsText" priority="182" operator="containsText" dxfId="5" stopIfTrue="1" text="1">
      <formula>NOT(ISERROR(SEARCH("1",K10)))</formula>
    </cfRule>
    <cfRule type="containsText" priority="183" operator="containsText" dxfId="4" stopIfTrue="1" text="2">
      <formula>NOT(ISERROR(SEARCH("2",K10)))</formula>
    </cfRule>
    <cfRule type="containsText" priority="184" operator="containsText" dxfId="3" stopIfTrue="1" text="3">
      <formula>NOT(ISERROR(SEARCH("3",K10)))</formula>
    </cfRule>
    <cfRule type="containsText" priority="185" operator="containsText" dxfId="2" stopIfTrue="1" text="4">
      <formula>NOT(ISERROR(SEARCH("4",K10)))</formula>
    </cfRule>
    <cfRule type="containsText" priority="186" operator="containsText" dxfId="1" stopIfTrue="1" text="5">
      <formula>NOT(ISERROR(SEARCH("5",K10)))</formula>
    </cfRule>
  </conditionalFormatting>
  <conditionalFormatting sqref="K11:L11">
    <cfRule type="containsText" priority="175" operator="containsText" dxfId="6" stopIfTrue="1" text="0">
      <formula>NOT(ISERROR(SEARCH("0",K11)))</formula>
    </cfRule>
    <cfRule type="containsText" priority="176" operator="containsText" dxfId="5" stopIfTrue="1" text="1">
      <formula>NOT(ISERROR(SEARCH("1",K11)))</formula>
    </cfRule>
    <cfRule type="containsText" priority="177" operator="containsText" dxfId="4" stopIfTrue="1" text="2">
      <formula>NOT(ISERROR(SEARCH("2",K11)))</formula>
    </cfRule>
    <cfRule type="containsText" priority="178" operator="containsText" dxfId="3" stopIfTrue="1" text="3">
      <formula>NOT(ISERROR(SEARCH("3",K11)))</formula>
    </cfRule>
    <cfRule type="containsText" priority="179" operator="containsText" dxfId="2" stopIfTrue="1" text="4">
      <formula>NOT(ISERROR(SEARCH("4",K11)))</formula>
    </cfRule>
    <cfRule type="containsText" priority="180" operator="containsText" dxfId="1" stopIfTrue="1" text="5">
      <formula>NOT(ISERROR(SEARCH("5",K11)))</formula>
    </cfRule>
  </conditionalFormatting>
  <conditionalFormatting sqref="K12:L12">
    <cfRule type="containsText" priority="97" operator="containsText" dxfId="6" stopIfTrue="1" text="0">
      <formula>NOT(ISERROR(SEARCH("0",K12)))</formula>
    </cfRule>
    <cfRule type="containsText" priority="98" operator="containsText" dxfId="5" stopIfTrue="1" text="1">
      <formula>NOT(ISERROR(SEARCH("1",K12)))</formula>
    </cfRule>
    <cfRule type="containsText" priority="99" operator="containsText" dxfId="4" stopIfTrue="1" text="2">
      <formula>NOT(ISERROR(SEARCH("2",K12)))</formula>
    </cfRule>
    <cfRule type="containsText" priority="100" operator="containsText" dxfId="3" stopIfTrue="1" text="3">
      <formula>NOT(ISERROR(SEARCH("3",K12)))</formula>
    </cfRule>
    <cfRule type="containsText" priority="101" operator="containsText" dxfId="2" stopIfTrue="1" text="4">
      <formula>NOT(ISERROR(SEARCH("4",K12)))</formula>
    </cfRule>
    <cfRule type="containsText" priority="102" operator="containsText" dxfId="1" stopIfTrue="1" text="5">
      <formula>NOT(ISERROR(SEARCH("5",K12)))</formula>
    </cfRule>
  </conditionalFormatting>
  <conditionalFormatting sqref="K20:L20">
    <cfRule type="containsText" priority="85" operator="containsText" dxfId="6" stopIfTrue="1" text="0">
      <formula>NOT(ISERROR(SEARCH("0",K20)))</formula>
    </cfRule>
    <cfRule type="containsText" priority="86" operator="containsText" dxfId="5" stopIfTrue="1" text="1">
      <formula>NOT(ISERROR(SEARCH("1",K20)))</formula>
    </cfRule>
    <cfRule type="containsText" priority="87" operator="containsText" dxfId="4" stopIfTrue="1" text="2">
      <formula>NOT(ISERROR(SEARCH("2",K20)))</formula>
    </cfRule>
    <cfRule type="containsText" priority="88" operator="containsText" dxfId="3" stopIfTrue="1" text="3">
      <formula>NOT(ISERROR(SEARCH("3",K20)))</formula>
    </cfRule>
    <cfRule type="containsText" priority="89" operator="containsText" dxfId="2" stopIfTrue="1" text="4">
      <formula>NOT(ISERROR(SEARCH("4",K20)))</formula>
    </cfRule>
    <cfRule type="containsText" priority="90" operator="containsText" dxfId="1" stopIfTrue="1" text="5">
      <formula>NOT(ISERROR(SEARCH("5",K20)))</formula>
    </cfRule>
  </conditionalFormatting>
  <conditionalFormatting sqref="K21:L21">
    <cfRule type="containsText" priority="79" operator="containsText" dxfId="6" stopIfTrue="1" text="0">
      <formula>NOT(ISERROR(SEARCH("0",K21)))</formula>
    </cfRule>
    <cfRule type="containsText" priority="80" operator="containsText" dxfId="5" stopIfTrue="1" text="1">
      <formula>NOT(ISERROR(SEARCH("1",K21)))</formula>
    </cfRule>
    <cfRule type="containsText" priority="81" operator="containsText" dxfId="4" stopIfTrue="1" text="2">
      <formula>NOT(ISERROR(SEARCH("2",K21)))</formula>
    </cfRule>
    <cfRule type="containsText" priority="82" operator="containsText" dxfId="3" stopIfTrue="1" text="3">
      <formula>NOT(ISERROR(SEARCH("3",K21)))</formula>
    </cfRule>
    <cfRule type="containsText" priority="83" operator="containsText" dxfId="2" stopIfTrue="1" text="4">
      <formula>NOT(ISERROR(SEARCH("4",K21)))</formula>
    </cfRule>
    <cfRule type="containsText" priority="84" operator="containsText" dxfId="1" stopIfTrue="1" text="5">
      <formula>NOT(ISERROR(SEARCH("5",K21)))</formula>
    </cfRule>
  </conditionalFormatting>
  <conditionalFormatting sqref="K22:L22">
    <cfRule type="containsText" priority="73" operator="containsText" dxfId="6" stopIfTrue="1" text="0">
      <formula>NOT(ISERROR(SEARCH("0",K22)))</formula>
    </cfRule>
    <cfRule type="containsText" priority="74" operator="containsText" dxfId="5" stopIfTrue="1" text="1">
      <formula>NOT(ISERROR(SEARCH("1",K22)))</formula>
    </cfRule>
    <cfRule type="containsText" priority="75" operator="containsText" dxfId="4" stopIfTrue="1" text="2">
      <formula>NOT(ISERROR(SEARCH("2",K22)))</formula>
    </cfRule>
    <cfRule type="containsText" priority="76" operator="containsText" dxfId="3" stopIfTrue="1" text="3">
      <formula>NOT(ISERROR(SEARCH("3",K22)))</formula>
    </cfRule>
    <cfRule type="containsText" priority="77" operator="containsText" dxfId="2" stopIfTrue="1" text="4">
      <formula>NOT(ISERROR(SEARCH("4",K22)))</formula>
    </cfRule>
    <cfRule type="containsText" priority="78" operator="containsText" dxfId="1" stopIfTrue="1" text="5">
      <formula>NOT(ISERROR(SEARCH("5",K22)))</formula>
    </cfRule>
  </conditionalFormatting>
  <conditionalFormatting sqref="K23:L23">
    <cfRule type="containsText" priority="67" operator="containsText" dxfId="6" stopIfTrue="1" text="0">
      <formula>NOT(ISERROR(SEARCH("0",K23)))</formula>
    </cfRule>
    <cfRule type="containsText" priority="68" operator="containsText" dxfId="5" stopIfTrue="1" text="1">
      <formula>NOT(ISERROR(SEARCH("1",K23)))</formula>
    </cfRule>
    <cfRule type="containsText" priority="69" operator="containsText" dxfId="4" stopIfTrue="1" text="2">
      <formula>NOT(ISERROR(SEARCH("2",K23)))</formula>
    </cfRule>
    <cfRule type="containsText" priority="70" operator="containsText" dxfId="3" stopIfTrue="1" text="3">
      <formula>NOT(ISERROR(SEARCH("3",K23)))</formula>
    </cfRule>
    <cfRule type="containsText" priority="71" operator="containsText" dxfId="2" stopIfTrue="1" text="4">
      <formula>NOT(ISERROR(SEARCH("4",K23)))</formula>
    </cfRule>
    <cfRule type="containsText" priority="72" operator="containsText" dxfId="1" stopIfTrue="1" text="5">
      <formula>NOT(ISERROR(SEARCH("5",K23)))</formula>
    </cfRule>
  </conditionalFormatting>
  <conditionalFormatting sqref="K9:L9">
    <cfRule type="containsText" priority="55" operator="containsText" dxfId="6" stopIfTrue="1" text="0">
      <formula>NOT(ISERROR(SEARCH("0",K9)))</formula>
    </cfRule>
    <cfRule type="containsText" priority="56" operator="containsText" dxfId="5" stopIfTrue="1" text="1">
      <formula>NOT(ISERROR(SEARCH("1",K9)))</formula>
    </cfRule>
    <cfRule type="containsText" priority="57" operator="containsText" dxfId="4" stopIfTrue="1" text="2">
      <formula>NOT(ISERROR(SEARCH("2",K9)))</formula>
    </cfRule>
    <cfRule type="containsText" priority="58" operator="containsText" dxfId="3" stopIfTrue="1" text="3">
      <formula>NOT(ISERROR(SEARCH("3",K9)))</formula>
    </cfRule>
    <cfRule type="containsText" priority="59" operator="containsText" dxfId="2" stopIfTrue="1" text="4">
      <formula>NOT(ISERROR(SEARCH("4",K9)))</formula>
    </cfRule>
    <cfRule type="containsText" priority="60" operator="containsText" dxfId="1" stopIfTrue="1" text="5">
      <formula>NOT(ISERROR(SEARCH("5",K9)))</formula>
    </cfRule>
  </conditionalFormatting>
  <conditionalFormatting sqref="K15:L15">
    <cfRule type="containsText" priority="49" operator="containsText" dxfId="6" stopIfTrue="1" text="0">
      <formula>NOT(ISERROR(SEARCH("0",K15)))</formula>
    </cfRule>
    <cfRule type="containsText" priority="50" operator="containsText" dxfId="5" stopIfTrue="1" text="1">
      <formula>NOT(ISERROR(SEARCH("1",K15)))</formula>
    </cfRule>
    <cfRule type="containsText" priority="51" operator="containsText" dxfId="4" stopIfTrue="1" text="2">
      <formula>NOT(ISERROR(SEARCH("2",K15)))</formula>
    </cfRule>
    <cfRule type="containsText" priority="52" operator="containsText" dxfId="3" stopIfTrue="1" text="3">
      <formula>NOT(ISERROR(SEARCH("3",K15)))</formula>
    </cfRule>
    <cfRule type="containsText" priority="53" operator="containsText" dxfId="2" stopIfTrue="1" text="4">
      <formula>NOT(ISERROR(SEARCH("4",K15)))</formula>
    </cfRule>
    <cfRule type="containsText" priority="54" operator="containsText" dxfId="1" stopIfTrue="1" text="5">
      <formula>NOT(ISERROR(SEARCH("5",K15)))</formula>
    </cfRule>
  </conditionalFormatting>
  <conditionalFormatting sqref="K16:L16">
    <cfRule type="containsText" priority="43" operator="containsText" dxfId="6" stopIfTrue="1" text="0">
      <formula>NOT(ISERROR(SEARCH("0",K16)))</formula>
    </cfRule>
    <cfRule type="containsText" priority="44" operator="containsText" dxfId="5" stopIfTrue="1" text="1">
      <formula>NOT(ISERROR(SEARCH("1",K16)))</formula>
    </cfRule>
    <cfRule type="containsText" priority="45" operator="containsText" dxfId="4" stopIfTrue="1" text="2">
      <formula>NOT(ISERROR(SEARCH("2",K16)))</formula>
    </cfRule>
    <cfRule type="containsText" priority="46" operator="containsText" dxfId="3" stopIfTrue="1" text="3">
      <formula>NOT(ISERROR(SEARCH("3",K16)))</formula>
    </cfRule>
    <cfRule type="containsText" priority="47" operator="containsText" dxfId="2" stopIfTrue="1" text="4">
      <formula>NOT(ISERROR(SEARCH("4",K16)))</formula>
    </cfRule>
    <cfRule type="containsText" priority="48" operator="containsText" dxfId="1" stopIfTrue="1" text="5">
      <formula>NOT(ISERROR(SEARCH("5",K16)))</formula>
    </cfRule>
  </conditionalFormatting>
  <conditionalFormatting sqref="K17:L17">
    <cfRule type="containsText" priority="37" operator="containsText" dxfId="6" stopIfTrue="1" text="0">
      <formula>NOT(ISERROR(SEARCH("0",K17)))</formula>
    </cfRule>
    <cfRule type="containsText" priority="38" operator="containsText" dxfId="5" stopIfTrue="1" text="1">
      <formula>NOT(ISERROR(SEARCH("1",K17)))</formula>
    </cfRule>
    <cfRule type="containsText" priority="39" operator="containsText" dxfId="4" stopIfTrue="1" text="2">
      <formula>NOT(ISERROR(SEARCH("2",K17)))</formula>
    </cfRule>
    <cfRule type="containsText" priority="40" operator="containsText" dxfId="3" stopIfTrue="1" text="3">
      <formula>NOT(ISERROR(SEARCH("3",K17)))</formula>
    </cfRule>
    <cfRule type="containsText" priority="41" operator="containsText" dxfId="2" stopIfTrue="1" text="4">
      <formula>NOT(ISERROR(SEARCH("4",K17)))</formula>
    </cfRule>
    <cfRule type="containsText" priority="42" operator="containsText" dxfId="1" stopIfTrue="1" text="5">
      <formula>NOT(ISERROR(SEARCH("5",K17)))</formula>
    </cfRule>
  </conditionalFormatting>
  <conditionalFormatting sqref="K18:L18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19:L19">
    <cfRule type="containsText" priority="25" operator="containsText" dxfId="6" stopIfTrue="1" text="0">
      <formula>NOT(ISERROR(SEARCH("0",K19)))</formula>
    </cfRule>
    <cfRule type="containsText" priority="26" operator="containsText" dxfId="5" stopIfTrue="1" text="1">
      <formula>NOT(ISERROR(SEARCH("1",K19)))</formula>
    </cfRule>
    <cfRule type="containsText" priority="27" operator="containsText" dxfId="4" stopIfTrue="1" text="2">
      <formula>NOT(ISERROR(SEARCH("2",K19)))</formula>
    </cfRule>
    <cfRule type="containsText" priority="28" operator="containsText" dxfId="3" stopIfTrue="1" text="3">
      <formula>NOT(ISERROR(SEARCH("3",K19)))</formula>
    </cfRule>
    <cfRule type="containsText" priority="29" operator="containsText" dxfId="2" stopIfTrue="1" text="4">
      <formula>NOT(ISERROR(SEARCH("4",K19)))</formula>
    </cfRule>
    <cfRule type="containsText" priority="30" operator="containsText" dxfId="1" stopIfTrue="1" text="5">
      <formula>NOT(ISERROR(SEARCH("5",K19)))</formula>
    </cfRule>
  </conditionalFormatting>
  <conditionalFormatting sqref="K29:L29">
    <cfRule type="containsText" priority="19" operator="containsText" dxfId="6" stopIfTrue="1" text="0">
      <formula>NOT(ISERROR(SEARCH("0",K29)))</formula>
    </cfRule>
    <cfRule type="containsText" priority="20" operator="containsText" dxfId="5" stopIfTrue="1" text="1">
      <formula>NOT(ISERROR(SEARCH("1",K29)))</formula>
    </cfRule>
    <cfRule type="containsText" priority="21" operator="containsText" dxfId="4" stopIfTrue="1" text="2">
      <formula>NOT(ISERROR(SEARCH("2",K29)))</formula>
    </cfRule>
    <cfRule type="containsText" priority="22" operator="containsText" dxfId="3" stopIfTrue="1" text="3">
      <formula>NOT(ISERROR(SEARCH("3",K29)))</formula>
    </cfRule>
    <cfRule type="containsText" priority="23" operator="containsText" dxfId="2" stopIfTrue="1" text="4">
      <formula>NOT(ISERROR(SEARCH("4",K29)))</formula>
    </cfRule>
    <cfRule type="containsText" priority="24" operator="containsText" dxfId="1" stopIfTrue="1" text="5">
      <formula>NOT(ISERROR(SEARCH("5",K29)))</formula>
    </cfRule>
  </conditionalFormatting>
  <conditionalFormatting sqref="K31:L31">
    <cfRule type="containsText" priority="7" operator="containsText" dxfId="6" stopIfTrue="1" text="0">
      <formula>NOT(ISERROR(SEARCH("0",K31)))</formula>
    </cfRule>
    <cfRule type="containsText" priority="8" operator="containsText" dxfId="5" stopIfTrue="1" text="1">
      <formula>NOT(ISERROR(SEARCH("1",K31)))</formula>
    </cfRule>
    <cfRule type="containsText" priority="9" operator="containsText" dxfId="4" stopIfTrue="1" text="2">
      <formula>NOT(ISERROR(SEARCH("2",K31)))</formula>
    </cfRule>
    <cfRule type="containsText" priority="10" operator="containsText" dxfId="3" stopIfTrue="1" text="3">
      <formula>NOT(ISERROR(SEARCH("3",K31)))</formula>
    </cfRule>
    <cfRule type="containsText" priority="11" operator="containsText" dxfId="2" stopIfTrue="1" text="4">
      <formula>NOT(ISERROR(SEARCH("4",K31)))</formula>
    </cfRule>
    <cfRule type="containsText" priority="12" operator="containsText" dxfId="1" stopIfTrue="1" text="5">
      <formula>NOT(ISERROR(SEARCH("5",K31)))</formula>
    </cfRule>
  </conditionalFormatting>
  <conditionalFormatting sqref="K32:L32">
    <cfRule type="containsText" priority="1" operator="containsText" dxfId="6" stopIfTrue="1" text="0">
      <formula>NOT(ISERROR(SEARCH("0",K32)))</formula>
    </cfRule>
    <cfRule type="containsText" priority="2" operator="containsText" dxfId="5" stopIfTrue="1" text="1">
      <formula>NOT(ISERROR(SEARCH("1",K32)))</formula>
    </cfRule>
    <cfRule type="containsText" priority="3" operator="containsText" dxfId="4" stopIfTrue="1" text="2">
      <formula>NOT(ISERROR(SEARCH("2",K32)))</formula>
    </cfRule>
    <cfRule type="containsText" priority="4" operator="containsText" dxfId="3" stopIfTrue="1" text="3">
      <formula>NOT(ISERROR(SEARCH("3",K32)))</formula>
    </cfRule>
    <cfRule type="containsText" priority="5" operator="containsText" dxfId="2" stopIfTrue="1" text="4">
      <formula>NOT(ISERROR(SEARCH("4",K32)))</formula>
    </cfRule>
    <cfRule type="containsText" priority="6" operator="containsText" dxfId="1" stopIfTrue="1" text="5">
      <formula>NOT(ISERROR(SEARCH("5",K32)))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 fitToPage="1"/>
  </sheetPr>
  <dimension ref="A1:Y50"/>
  <sheetViews>
    <sheetView topLeftCell="A12" zoomScaleNormal="100" workbookViewId="0">
      <selection activeCell="E26" sqref="E26:J26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#4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>
        <v>825</v>
      </c>
      <c r="B9" s="284" t="n">
        <v>890</v>
      </c>
      <c r="C9" s="534" t="inlineStr">
        <is>
          <t>18-12%</t>
        </is>
      </c>
      <c r="D9" s="535" t="inlineStr">
        <is>
          <t>3-9%</t>
        </is>
      </c>
      <c r="E9" s="381" t="inlineStr">
        <is>
          <t>Mod gas, gd ROP/Gamma/incr calc cmt, tr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Q9" s="312" t="n"/>
      <c r="R9" s="313" t="n"/>
      <c r="S9" s="314" t="n"/>
      <c r="T9" s="315" t="n"/>
      <c r="U9" s="313" t="n"/>
      <c r="V9" s="314" t="n"/>
    </row>
    <row r="10" ht="12.75" customHeight="1" s="220">
      <c r="A10" s="129">
        <f>B9</f>
        <v/>
      </c>
      <c r="B10" s="284" t="n">
        <v>940</v>
      </c>
      <c r="C10" s="534" t="inlineStr">
        <is>
          <t>15-12%</t>
        </is>
      </c>
      <c r="D10" s="535" t="inlineStr">
        <is>
          <t>0-9%</t>
        </is>
      </c>
      <c r="E10" s="381" t="inlineStr">
        <is>
          <t>Mod gas, incr calc cmt, tt stks, TL-btm wdw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284" t="n">
        <v>825</v>
      </c>
      <c r="R10" s="284" t="n">
        <v>577.9</v>
      </c>
      <c r="S10" s="285" t="n">
        <v>111</v>
      </c>
      <c r="T10" s="152" t="n"/>
      <c r="U10" s="284" t="n"/>
      <c r="V10" s="153" t="n"/>
      <c r="W10" s="147" t="n"/>
    </row>
    <row r="11" ht="12.75" customHeight="1" s="220">
      <c r="A11" s="129">
        <f>B10</f>
        <v/>
      </c>
      <c r="B11" s="284" t="n">
        <v>945</v>
      </c>
      <c r="C11" s="534" t="inlineStr">
        <is>
          <t>15-12%</t>
        </is>
      </c>
      <c r="D11" s="535" t="inlineStr">
        <is>
          <t>3-9%</t>
        </is>
      </c>
      <c r="E11" s="381" t="inlineStr">
        <is>
          <t>W dev tt stks, incr cacl, com coal stgs, @TL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300" t="n">
        <v>900</v>
      </c>
      <c r="R11" s="284" t="n">
        <v>577.6</v>
      </c>
      <c r="S11" s="300" t="n">
        <v>111.3</v>
      </c>
      <c r="T11" s="152" t="n"/>
      <c r="U11" s="284" t="n"/>
      <c r="V11" s="153" t="n"/>
      <c r="W11" s="147" t="n"/>
    </row>
    <row r="12" ht="12.75" customHeight="1" s="220">
      <c r="A12" s="129">
        <f>B11</f>
        <v/>
      </c>
      <c r="B12" s="284" t="n">
        <v>970</v>
      </c>
      <c r="C12" s="534" t="inlineStr">
        <is>
          <t>15-12%</t>
        </is>
      </c>
      <c r="D12" s="535" t="inlineStr">
        <is>
          <t>3-9%</t>
        </is>
      </c>
      <c r="E12" s="381" t="inlineStr">
        <is>
          <t>Mod gas, incr calc cmt, tt stks, TL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300" t="n">
        <v>991</v>
      </c>
      <c r="R12" s="284" t="n">
        <v>577.1999999999999</v>
      </c>
      <c r="S12" s="300" t="n">
        <v>111.7</v>
      </c>
      <c r="T12" s="152" t="n"/>
      <c r="U12" s="284" t="n"/>
      <c r="V12" s="153" t="n"/>
      <c r="W12" s="147" t="n"/>
    </row>
    <row r="13" ht="26.25" customHeight="1" s="220">
      <c r="A13" s="129">
        <f>B12</f>
        <v/>
      </c>
      <c r="B13" s="284" t="n">
        <v>980</v>
      </c>
      <c r="C13" s="534" t="inlineStr">
        <is>
          <t>15-12%</t>
        </is>
      </c>
      <c r="D13" s="535" t="inlineStr">
        <is>
          <t>0-9%</t>
        </is>
      </c>
      <c r="E13" s="381" t="inlineStr">
        <is>
          <t>W dev tt stks, incr cacl, com coal stgs, @TL</t>
        </is>
      </c>
      <c r="F13" s="536" t="n"/>
      <c r="G13" s="536" t="n"/>
      <c r="H13" s="536" t="n"/>
      <c r="I13" s="536" t="n"/>
      <c r="J13" s="537" t="n"/>
      <c r="K13" s="384" t="n">
        <v>3</v>
      </c>
      <c r="L13" s="537" t="n"/>
      <c r="N13" s="133" t="n"/>
      <c r="Q13" s="300" t="n">
        <v>1000</v>
      </c>
      <c r="R13" s="284" t="n">
        <v>577.1999999999999</v>
      </c>
      <c r="S13" s="300" t="n">
        <v>111.7</v>
      </c>
      <c r="T13" s="152" t="n"/>
      <c r="U13" s="284" t="n"/>
      <c r="V13" s="153" t="n"/>
      <c r="W13" s="147" t="n"/>
    </row>
    <row r="14" ht="12.75" customHeight="1" s="220">
      <c r="A14" s="129">
        <f>B13</f>
        <v/>
      </c>
      <c r="B14" s="284" t="n">
        <v>1025</v>
      </c>
      <c r="C14" s="534" t="inlineStr">
        <is>
          <t>15-12%</t>
        </is>
      </c>
      <c r="D14" s="535" t="inlineStr">
        <is>
          <t>3-9%</t>
        </is>
      </c>
      <c r="E14" s="381" t="inlineStr">
        <is>
          <t>low gas, com calc cmt, incr silty resid, top wdw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N14" s="133" t="n"/>
      <c r="Q14" s="300" t="n">
        <v>1100</v>
      </c>
      <c r="R14" s="284" t="n">
        <v>577.1999999999999</v>
      </c>
      <c r="S14" s="300" t="n">
        <v>111.7</v>
      </c>
      <c r="T14" s="152" t="n"/>
      <c r="U14" s="284" t="n"/>
      <c r="V14" s="153" t="n"/>
      <c r="W14" s="147" t="n"/>
    </row>
    <row r="15" ht="12.75" customHeight="1" s="220">
      <c r="A15" s="129">
        <f>B14</f>
        <v/>
      </c>
      <c r="B15" s="284" t="n">
        <v>1070</v>
      </c>
      <c r="C15" s="534" t="inlineStr">
        <is>
          <t>15-12%</t>
        </is>
      </c>
      <c r="D15" s="535" t="inlineStr">
        <is>
          <t>3-9%</t>
        </is>
      </c>
      <c r="E15" s="381" t="inlineStr">
        <is>
          <t>W dev tt stks, incr cacl, com coal stgs, top wdw-&gt;wdw</t>
        </is>
      </c>
      <c r="F15" s="536" t="n"/>
      <c r="G15" s="536" t="n"/>
      <c r="H15" s="536" t="n"/>
      <c r="I15" s="536" t="n"/>
      <c r="J15" s="537" t="n"/>
      <c r="K15" s="384" t="n">
        <v>3</v>
      </c>
      <c r="L15" s="537" t="n"/>
      <c r="N15" s="133" t="n"/>
      <c r="Q15" s="300" t="n">
        <v>1105</v>
      </c>
      <c r="R15" s="284" t="n">
        <v>577.1999999999999</v>
      </c>
      <c r="S15" s="300" t="n">
        <v>111.7</v>
      </c>
      <c r="T15" s="152" t="n"/>
      <c r="U15" s="284" t="n"/>
      <c r="V15" s="153" t="n"/>
      <c r="W15" s="148" t="n"/>
    </row>
    <row r="16" ht="25.5" customHeight="1" s="220">
      <c r="A16" s="129">
        <f>B15</f>
        <v/>
      </c>
      <c r="B16" s="284" t="n">
        <v>1160</v>
      </c>
      <c r="C16" s="534" t="inlineStr">
        <is>
          <t>15-12%</t>
        </is>
      </c>
      <c r="D16" s="535" t="inlineStr">
        <is>
          <t>3-9%</t>
        </is>
      </c>
      <c r="E16" s="381" t="inlineStr">
        <is>
          <t>low gas, com calc cmt, incr silty resid, top wdw-&lt;TL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300" t="n">
        <v>1200</v>
      </c>
      <c r="R16" s="284" t="n">
        <v>577.1999999999999</v>
      </c>
      <c r="S16" s="300" t="n">
        <v>111.7</v>
      </c>
      <c r="T16" s="152" t="n"/>
      <c r="U16" s="284" t="n"/>
      <c r="V16" s="153" t="n"/>
      <c r="W16" s="147" t="n"/>
    </row>
    <row r="17">
      <c r="A17" s="129">
        <f>B16</f>
        <v/>
      </c>
      <c r="B17" s="284" t="n">
        <v>1270</v>
      </c>
      <c r="C17" s="534" t="inlineStr">
        <is>
          <t>18-12%</t>
        </is>
      </c>
      <c r="D17" s="535" t="inlineStr">
        <is>
          <t>3-9%</t>
        </is>
      </c>
      <c r="E17" s="381" t="inlineStr">
        <is>
          <t>Incr gas, red calc cmt, occ coal frags, top wdw-TL</t>
        </is>
      </c>
      <c r="F17" s="536" t="n"/>
      <c r="G17" s="536" t="n"/>
      <c r="H17" s="536" t="n"/>
      <c r="I17" s="536" t="n"/>
      <c r="J17" s="537" t="n"/>
      <c r="K17" s="384" t="n">
        <v>4</v>
      </c>
      <c r="L17" s="537" t="n"/>
      <c r="N17" s="133" t="n"/>
      <c r="Q17" s="300" t="n">
        <v>1300</v>
      </c>
      <c r="R17" s="284" t="n">
        <v>577.4</v>
      </c>
      <c r="S17" s="300" t="n">
        <v>111.5</v>
      </c>
      <c r="T17" s="152" t="n"/>
      <c r="U17" s="284" t="n"/>
      <c r="V17" s="153" t="n"/>
      <c r="W17" s="147" t="n"/>
    </row>
    <row r="18" ht="12.75" customHeight="1" s="220">
      <c r="A18" s="129">
        <f>B17</f>
        <v/>
      </c>
      <c r="B18" s="284" t="n">
        <v>1290</v>
      </c>
      <c r="C18" s="534" t="inlineStr">
        <is>
          <t>15-12%</t>
        </is>
      </c>
      <c r="D18" s="535" t="inlineStr">
        <is>
          <t>0-9%</t>
        </is>
      </c>
      <c r="E18" s="381" t="inlineStr">
        <is>
          <t>W dev tt stks, incr cacl, com coal stgs, @TL</t>
        </is>
      </c>
      <c r="F18" s="536" t="n"/>
      <c r="G18" s="536" t="n"/>
      <c r="H18" s="536" t="n"/>
      <c r="I18" s="536" t="n"/>
      <c r="J18" s="537" t="n"/>
      <c r="K18" s="384" t="n">
        <v>3</v>
      </c>
      <c r="L18" s="537" t="n"/>
      <c r="N18" s="133" t="n"/>
      <c r="Q18" s="300" t="n">
        <v>1400</v>
      </c>
      <c r="R18" s="284" t="n">
        <v>577.4</v>
      </c>
      <c r="S18" s="300" t="n">
        <v>111.5</v>
      </c>
      <c r="T18" s="152" t="n"/>
      <c r="U18" s="284" t="n"/>
      <c r="V18" s="153" t="n"/>
      <c r="W18" s="147" t="n"/>
    </row>
    <row r="19" ht="12.75" customHeight="1" s="220">
      <c r="A19" s="129">
        <f>B18</f>
        <v/>
      </c>
      <c r="B19" s="284" t="n">
        <v>1340</v>
      </c>
      <c r="C19" s="534" t="inlineStr">
        <is>
          <t>18-12%</t>
        </is>
      </c>
      <c r="D19" s="535" t="inlineStr">
        <is>
          <t>3-9%</t>
        </is>
      </c>
      <c r="E19" s="381" t="inlineStr">
        <is>
          <t>Incr gas, red calc cmt, occ coal frags, top wdw-TL</t>
        </is>
      </c>
      <c r="F19" s="536" t="n"/>
      <c r="G19" s="536" t="n"/>
      <c r="H19" s="536" t="n"/>
      <c r="I19" s="536" t="n"/>
      <c r="J19" s="537" t="n"/>
      <c r="K19" s="384" t="n">
        <v>4</v>
      </c>
      <c r="L19" s="537" t="n"/>
      <c r="N19" s="133" t="n"/>
      <c r="Q19" s="300" t="n">
        <v>1500</v>
      </c>
      <c r="R19" s="284" t="n">
        <v>577.4</v>
      </c>
      <c r="S19" s="300" t="n">
        <v>111.5</v>
      </c>
      <c r="T19" s="152" t="n"/>
      <c r="U19" s="284" t="n"/>
      <c r="V19" s="153" t="n"/>
      <c r="W19" s="147" t="n"/>
    </row>
    <row r="20" ht="12.75" customHeight="1" s="220">
      <c r="A20" s="129">
        <f>B19</f>
        <v/>
      </c>
      <c r="B20" s="284" t="n">
        <v>1380</v>
      </c>
      <c r="C20" s="534" t="inlineStr">
        <is>
          <t>15-12%</t>
        </is>
      </c>
      <c r="D20" s="535" t="inlineStr">
        <is>
          <t>3-6%</t>
        </is>
      </c>
      <c r="E20" s="381" t="inlineStr">
        <is>
          <t>W dev tt stks, incr cacl, com coal stgs, @TL</t>
        </is>
      </c>
      <c r="F20" s="536" t="n"/>
      <c r="G20" s="536" t="n"/>
      <c r="H20" s="536" t="n"/>
      <c r="I20" s="536" t="n"/>
      <c r="J20" s="537" t="n"/>
      <c r="K20" s="384" t="n">
        <v>3</v>
      </c>
      <c r="L20" s="537" t="n"/>
      <c r="N20" s="133" t="n"/>
      <c r="Q20" s="300" t="n">
        <v>1600</v>
      </c>
      <c r="R20" s="284" t="n">
        <v>577.9</v>
      </c>
      <c r="S20" s="300" t="n">
        <v>111</v>
      </c>
      <c r="T20" s="152" t="n"/>
      <c r="U20" s="284" t="n"/>
      <c r="V20" s="153" t="n"/>
      <c r="W20" s="147" t="n"/>
    </row>
    <row r="21" ht="12.75" customHeight="1" s="220">
      <c r="A21" s="129">
        <f>B20</f>
        <v/>
      </c>
      <c r="B21" s="284" t="n">
        <v>1440</v>
      </c>
      <c r="C21" s="534" t="inlineStr">
        <is>
          <t>18-12%</t>
        </is>
      </c>
      <c r="D21" s="535" t="inlineStr">
        <is>
          <t>3-9%</t>
        </is>
      </c>
      <c r="E21" s="381" t="inlineStr">
        <is>
          <t>Gd ROP Gamma low 60's, occ calc stgs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N21" s="133" t="n"/>
      <c r="Q21" s="300" t="n">
        <v>1700</v>
      </c>
      <c r="R21" s="284" t="n">
        <v>578.9</v>
      </c>
      <c r="S21" s="300" t="n">
        <v>110</v>
      </c>
      <c r="T21" s="152" t="n"/>
      <c r="U21" s="284" t="n"/>
      <c r="V21" s="153" t="n"/>
      <c r="W21" s="147" t="n"/>
    </row>
    <row r="22" ht="22.5" customHeight="1" s="220">
      <c r="A22" s="129">
        <f>B21</f>
        <v/>
      </c>
      <c r="B22" s="284" t="n">
        <v>1610</v>
      </c>
      <c r="C22" s="534" t="inlineStr">
        <is>
          <t>18-12%</t>
        </is>
      </c>
      <c r="D22" s="535" t="inlineStr">
        <is>
          <t>3-9%</t>
        </is>
      </c>
      <c r="E22" s="381" t="inlineStr">
        <is>
          <t>Gd ROP Gamma low 60's occ high 50's, occ coal strns, occ tt strk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N22" s="133" t="n"/>
      <c r="Q22" s="300" t="n">
        <v>1800</v>
      </c>
      <c r="R22" s="284" t="n">
        <v>579.9</v>
      </c>
      <c r="S22" s="300" t="n">
        <v>109</v>
      </c>
      <c r="T22" s="152" t="n"/>
      <c r="U22" s="284" t="n"/>
      <c r="V22" s="153" t="n"/>
      <c r="W22" s="147" t="n"/>
    </row>
    <row r="23" ht="12.75" customHeight="1" s="220">
      <c r="A23" s="129">
        <f>B22</f>
        <v/>
      </c>
      <c r="B23" s="284" t="n">
        <v>1730</v>
      </c>
      <c r="C23" s="534" t="inlineStr">
        <is>
          <t>18-12%</t>
        </is>
      </c>
      <c r="D23" s="535" t="inlineStr">
        <is>
          <t>3-9%</t>
        </is>
      </c>
      <c r="E23" s="540" t="inlineStr">
        <is>
          <t>Gd ROP , gd gas, gamma mid 60's occ low 60's</t>
        </is>
      </c>
      <c r="F23" s="536" t="n"/>
      <c r="G23" s="536" t="n"/>
      <c r="H23" s="536" t="n"/>
      <c r="I23" s="536" t="n"/>
      <c r="J23" s="541" t="n"/>
      <c r="K23" s="384" t="n">
        <v>4</v>
      </c>
      <c r="L23" s="537" t="n"/>
      <c r="N23" s="133" t="n"/>
      <c r="Q23" s="300" t="n">
        <v>1900</v>
      </c>
      <c r="R23" s="284" t="n">
        <v>580.9</v>
      </c>
      <c r="S23" s="300" t="n">
        <v>108</v>
      </c>
      <c r="T23" s="152" t="n"/>
      <c r="U23" s="284" t="n"/>
      <c r="V23" s="153" t="n"/>
      <c r="W23" s="147" t="n"/>
    </row>
    <row r="24" ht="12.75" customHeight="1" s="220">
      <c r="A24" s="129">
        <f>B23</f>
        <v/>
      </c>
      <c r="B24" s="284" t="n">
        <v>1820</v>
      </c>
      <c r="C24" s="534" t="inlineStr">
        <is>
          <t>18-12%</t>
        </is>
      </c>
      <c r="D24" s="535" t="inlineStr">
        <is>
          <t>3-6%</t>
        </is>
      </c>
      <c r="E24" s="381" t="inlineStr">
        <is>
          <t>Good ROP mid gamma, occ tt stk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300" t="n">
        <v>2000</v>
      </c>
      <c r="R24" s="284" t="n">
        <v>580.9</v>
      </c>
      <c r="S24" s="300" t="n">
        <v>108</v>
      </c>
      <c r="T24" s="152" t="n"/>
      <c r="U24" s="284" t="n"/>
      <c r="V24" s="153" t="n"/>
      <c r="W24" s="147" t="n"/>
    </row>
    <row r="25" ht="25.5" customHeight="1" s="220">
      <c r="A25" s="129">
        <f>B24</f>
        <v/>
      </c>
      <c r="B25" s="284" t="n">
        <v>1880</v>
      </c>
      <c r="C25" s="534" t="inlineStr">
        <is>
          <t>15-12%</t>
        </is>
      </c>
      <c r="D25" s="535" t="inlineStr">
        <is>
          <t>3-6%</t>
        </is>
      </c>
      <c r="E25" s="381" t="inlineStr">
        <is>
          <t>Inc calc cmt, mnr carb mat, drop in gas and rop.</t>
        </is>
      </c>
      <c r="F25" s="536" t="n"/>
      <c r="G25" s="536" t="n"/>
      <c r="H25" s="536" t="n"/>
      <c r="I25" s="536" t="n"/>
      <c r="J25" s="537" t="n"/>
      <c r="K25" s="384" t="n">
        <v>3</v>
      </c>
      <c r="L25" s="537" t="n"/>
      <c r="N25" s="133" t="n"/>
      <c r="Q25" s="300" t="n">
        <v>2100</v>
      </c>
      <c r="R25" s="284" t="n">
        <v>580.9</v>
      </c>
      <c r="S25" s="300" t="n">
        <v>108</v>
      </c>
      <c r="T25" s="152" t="n"/>
      <c r="U25" s="284" t="n"/>
      <c r="V25" s="153" t="n"/>
      <c r="W25" s="147" t="n"/>
    </row>
    <row r="26" ht="18.75" customHeight="1" s="220">
      <c r="A26" s="129">
        <f>B25</f>
        <v/>
      </c>
      <c r="B26" s="284" t="n">
        <v>2050</v>
      </c>
      <c r="C26" s="534" t="inlineStr">
        <is>
          <t>18-12%</t>
        </is>
      </c>
      <c r="D26" s="535" t="inlineStr">
        <is>
          <t>3-9%</t>
        </is>
      </c>
      <c r="E26" s="381" t="inlineStr">
        <is>
          <t>Gd ROP , gd gas, gamma mid 60's occ low 60's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300" t="n">
        <v>2200</v>
      </c>
      <c r="R26" s="284" t="n">
        <v>580.9</v>
      </c>
      <c r="S26" s="300" t="n">
        <v>108</v>
      </c>
      <c r="T26" s="152" t="n"/>
      <c r="U26" s="284" t="n"/>
      <c r="V26" s="153" t="n"/>
      <c r="W26" s="147" t="n"/>
    </row>
    <row r="27" ht="24.75" customHeight="1" s="220">
      <c r="A27" s="129">
        <f>B26</f>
        <v/>
      </c>
      <c r="B27" s="284" t="n"/>
      <c r="C27" s="534" t="n"/>
      <c r="D27" s="535" t="n"/>
      <c r="E27" s="381" t="n"/>
      <c r="F27" s="536" t="n"/>
      <c r="G27" s="536" t="n"/>
      <c r="H27" s="536" t="n"/>
      <c r="I27" s="536" t="n"/>
      <c r="J27" s="537" t="n"/>
      <c r="K27" s="384" t="n"/>
      <c r="L27" s="537" t="n"/>
      <c r="N27" s="133" t="n"/>
      <c r="Q27" s="300" t="n">
        <v>2300</v>
      </c>
      <c r="R27" s="284" t="n">
        <v>580.9</v>
      </c>
      <c r="S27" s="300" t="n">
        <v>108</v>
      </c>
      <c r="T27" s="293" t="n"/>
      <c r="U27" s="284" t="n"/>
      <c r="V27" s="294" t="n"/>
      <c r="W27" s="295" t="n"/>
    </row>
    <row r="28" ht="25.5" customHeight="1" s="220">
      <c r="A28" s="129">
        <f>B27</f>
        <v/>
      </c>
      <c r="B28" s="284" t="n"/>
      <c r="C28" s="534" t="n"/>
      <c r="D28" s="535" t="n"/>
      <c r="E28" s="381" t="n"/>
      <c r="F28" s="536" t="n"/>
      <c r="G28" s="536" t="n"/>
      <c r="H28" s="536" t="n"/>
      <c r="I28" s="536" t="n"/>
      <c r="J28" s="537" t="n"/>
      <c r="K28" s="384" t="n"/>
      <c r="L28" s="537" t="n"/>
      <c r="N28" s="133" t="n"/>
      <c r="Q28" s="300" t="n">
        <v>2400</v>
      </c>
      <c r="R28" s="284" t="n">
        <v>580.9</v>
      </c>
      <c r="S28" s="300" t="n">
        <v>108</v>
      </c>
      <c r="T28" s="293" t="n"/>
      <c r="U28" s="284" t="n"/>
      <c r="V28" s="294" t="n"/>
      <c r="W28" s="295" t="n"/>
    </row>
    <row r="29" ht="25.5" customHeight="1" s="220">
      <c r="A29" s="129">
        <f>B28</f>
        <v/>
      </c>
      <c r="B29" s="284" t="n"/>
      <c r="C29" s="534" t="n"/>
      <c r="D29" s="535" t="n"/>
      <c r="E29" s="381" t="n"/>
      <c r="F29" s="536" t="n"/>
      <c r="G29" s="536" t="n"/>
      <c r="H29" s="536" t="n"/>
      <c r="I29" s="536" t="n"/>
      <c r="J29" s="537" t="n"/>
      <c r="K29" s="384" t="n"/>
      <c r="L29" s="537" t="n"/>
      <c r="N29" s="133" t="n"/>
      <c r="Q29" s="300" t="n">
        <v>2500</v>
      </c>
      <c r="R29" s="284" t="n">
        <v>580.9</v>
      </c>
      <c r="S29" s="300" t="n">
        <v>108</v>
      </c>
      <c r="T29" s="283" t="n"/>
      <c r="U29" s="284" t="n"/>
      <c r="V29" s="285" t="n"/>
    </row>
    <row r="30" ht="20.25" customHeight="1" s="220">
      <c r="A30" s="129">
        <f>B29</f>
        <v/>
      </c>
      <c r="B30" s="284" t="n"/>
      <c r="C30" s="534" t="n"/>
      <c r="D30" s="535" t="n"/>
      <c r="E30" s="381" t="n"/>
      <c r="F30" s="536" t="n"/>
      <c r="G30" s="536" t="n"/>
      <c r="H30" s="536" t="n"/>
      <c r="I30" s="536" t="n"/>
      <c r="J30" s="537" t="n"/>
      <c r="K30" s="384" t="n"/>
      <c r="L30" s="537" t="n"/>
      <c r="N30" s="133" t="n"/>
      <c r="Q30" s="300" t="n">
        <v>2600</v>
      </c>
      <c r="R30" s="284" t="n">
        <v>581.4</v>
      </c>
      <c r="S30" s="300" t="n">
        <v>107.5</v>
      </c>
      <c r="T30" s="283" t="n"/>
      <c r="U30" s="284" t="n"/>
      <c r="V30" s="285" t="n"/>
    </row>
    <row r="31" ht="21" customHeight="1" s="220">
      <c r="A31" s="129">
        <f>B30</f>
        <v/>
      </c>
      <c r="B31" s="284" t="n"/>
      <c r="C31" s="534" t="n"/>
      <c r="D31" s="535" t="n"/>
      <c r="E31" s="381" t="n"/>
      <c r="F31" s="536" t="n"/>
      <c r="G31" s="536" t="n"/>
      <c r="H31" s="536" t="n"/>
      <c r="I31" s="536" t="n"/>
      <c r="J31" s="537" t="n"/>
      <c r="K31" s="384" t="n"/>
      <c r="L31" s="537" t="n"/>
      <c r="N31" s="133" t="n"/>
      <c r="Q31" s="300" t="n">
        <v>2614</v>
      </c>
      <c r="R31" s="284" t="n">
        <v>581.6</v>
      </c>
      <c r="S31" s="300" t="n">
        <v>107.3</v>
      </c>
      <c r="T31" s="283" t="n"/>
      <c r="U31" s="284" t="n"/>
      <c r="V31" s="285" t="n"/>
    </row>
    <row r="32" ht="12.75" customHeight="1" s="220">
      <c r="A32" s="129">
        <f>B31</f>
        <v/>
      </c>
      <c r="B32" s="284" t="n"/>
      <c r="C32" s="534" t="n"/>
      <c r="D32" s="535" t="n"/>
      <c r="E32" s="540" t="n"/>
      <c r="F32" s="536" t="n"/>
      <c r="G32" s="536" t="n"/>
      <c r="H32" s="536" t="n"/>
      <c r="I32" s="536" t="n"/>
      <c r="J32" s="541" t="n"/>
      <c r="K32" s="384" t="n"/>
      <c r="L32" s="537" t="n"/>
      <c r="N32" s="133" t="n"/>
      <c r="Q32" s="300" t="n"/>
      <c r="R32" s="284" t="n"/>
      <c r="S32" s="300" t="n"/>
      <c r="T32" s="283" t="n"/>
      <c r="U32" s="284" t="n"/>
      <c r="V32" s="285" t="n"/>
    </row>
    <row r="33" ht="12.75" customHeight="1" s="220">
      <c r="A33" s="129">
        <f>B32</f>
        <v/>
      </c>
      <c r="B33" s="284" t="n"/>
      <c r="C33" s="534" t="n"/>
      <c r="D33" s="535" t="n"/>
      <c r="E33" s="540" t="n"/>
      <c r="F33" s="536" t="n"/>
      <c r="G33" s="536" t="n"/>
      <c r="H33" s="536" t="n"/>
      <c r="I33" s="536" t="n"/>
      <c r="J33" s="541" t="n"/>
      <c r="K33" s="384" t="n"/>
      <c r="L33" s="537" t="n"/>
      <c r="N33" s="133" t="n"/>
      <c r="Q33" s="300" t="n"/>
      <c r="R33" s="284" t="n"/>
      <c r="S33" s="300" t="n"/>
      <c r="T33" s="283" t="n"/>
      <c r="U33" s="284" t="n"/>
      <c r="V33" s="285" t="n"/>
    </row>
    <row r="34" ht="12.75" customHeight="1" s="220">
      <c r="A34" s="129">
        <f>B33</f>
        <v/>
      </c>
      <c r="B34" s="284" t="n"/>
      <c r="C34" s="534" t="n"/>
      <c r="D34" s="535" t="n"/>
      <c r="E34" s="540" t="n"/>
      <c r="F34" s="536" t="n"/>
      <c r="G34" s="536" t="n"/>
      <c r="H34" s="536" t="n"/>
      <c r="I34" s="536" t="n"/>
      <c r="J34" s="541" t="n"/>
      <c r="K34" s="384" t="n"/>
      <c r="L34" s="537" t="n"/>
      <c r="N34" s="133" t="n"/>
      <c r="Q34" s="300" t="n"/>
      <c r="R34" s="284" t="n"/>
      <c r="S34" s="300" t="n"/>
      <c r="T34" s="283" t="n"/>
      <c r="U34" s="284" t="n"/>
      <c r="V34" s="285" t="n"/>
    </row>
    <row r="35" ht="12.75" customHeight="1" s="220">
      <c r="A35" s="407" t="inlineStr">
        <is>
          <t>Reservoir Quality / Representative Sample</t>
        </is>
      </c>
      <c r="B35" s="528" t="n"/>
      <c r="C35" s="528" t="n"/>
      <c r="D35" s="528" t="n"/>
      <c r="E35" s="528" t="n"/>
      <c r="F35" s="528" t="n"/>
      <c r="G35" s="528" t="n"/>
      <c r="H35" s="528" t="n"/>
      <c r="I35" s="528" t="n"/>
      <c r="J35" s="528" t="n"/>
      <c r="K35" s="528" t="n"/>
      <c r="L35" s="528" t="n"/>
      <c r="Q35" s="300" t="n"/>
      <c r="R35" s="284" t="n"/>
      <c r="S35" s="300" t="n"/>
    </row>
    <row r="36" ht="12.75" customHeight="1" s="220">
      <c r="A36" s="110" t="n">
        <v>5</v>
      </c>
      <c r="B36" s="419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6" t="n"/>
      <c r="Q36" s="300" t="n"/>
      <c r="R36" s="284" t="n"/>
      <c r="S36" s="300" t="n"/>
    </row>
    <row r="37" ht="12.75" customHeight="1" s="220">
      <c r="A37" s="110" t="n">
        <v>4</v>
      </c>
      <c r="B37" s="419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6" t="n"/>
      <c r="Q37" s="300" t="n"/>
      <c r="R37" s="284" t="n"/>
      <c r="S37" s="300" t="n"/>
    </row>
    <row r="38" ht="12.75" customHeight="1" s="220">
      <c r="A38" s="110" t="n">
        <v>3</v>
      </c>
      <c r="B38" s="419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6" t="n"/>
      <c r="Q38" s="302" t="n"/>
      <c r="R38" s="284" t="n"/>
      <c r="S38" s="285" t="n"/>
    </row>
    <row r="39" ht="12.75" customHeight="1" s="220">
      <c r="A39" s="110" t="n">
        <v>2</v>
      </c>
      <c r="B39" s="419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6" t="n"/>
      <c r="Q39" s="302" t="n"/>
      <c r="R39" s="284" t="n"/>
      <c r="S39" s="285" t="n"/>
    </row>
    <row r="40" ht="12.75" customHeight="1" s="220">
      <c r="A40" s="110" t="n">
        <v>1</v>
      </c>
      <c r="B40" s="412" t="n"/>
      <c r="C40" s="536" t="n"/>
      <c r="D40" s="536" t="n"/>
      <c r="E40" s="536" t="n"/>
      <c r="F40" s="536" t="n"/>
      <c r="G40" s="536" t="n"/>
      <c r="H40" s="536" t="n"/>
      <c r="I40" s="536" t="n"/>
      <c r="J40" s="536" t="n"/>
      <c r="K40" s="536" t="n"/>
      <c r="L40" s="537" t="n"/>
      <c r="Q40" s="302" t="n"/>
      <c r="R40" s="284" t="n"/>
      <c r="S40" s="285" t="n"/>
    </row>
    <row r="41" ht="12.75" customHeight="1" s="220">
      <c r="A41" s="110" t="n">
        <v>0</v>
      </c>
      <c r="B41" s="412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  <c r="Q41" s="302" t="n"/>
      <c r="R41" s="284" t="n"/>
      <c r="S41" s="285" t="n"/>
    </row>
    <row r="42" ht="12.75" customHeight="1" s="220">
      <c r="A42" s="410" t="n"/>
      <c r="B42" s="526" t="n"/>
      <c r="C42" s="526" t="n"/>
      <c r="D42" s="526" t="n"/>
      <c r="E42" s="526" t="n"/>
      <c r="F42" s="526" t="n"/>
      <c r="G42" s="526" t="n"/>
      <c r="H42" s="526" t="n"/>
      <c r="I42" s="526" t="n"/>
      <c r="J42" s="526" t="n"/>
      <c r="K42" s="526" t="n"/>
      <c r="L42" s="526" t="n"/>
      <c r="Q42" s="302" t="n"/>
      <c r="R42" s="284" t="n"/>
      <c r="S42" s="285" t="n"/>
    </row>
    <row r="43" ht="12.75" customHeight="1" s="220">
      <c r="A43" s="407" t="inlineStr">
        <is>
          <t>Geologist Notes / Updates</t>
        </is>
      </c>
      <c r="B43" s="528" t="n"/>
      <c r="C43" s="528" t="n"/>
      <c r="D43" s="528" t="n"/>
      <c r="E43" s="528" t="n"/>
      <c r="F43" s="528" t="n"/>
      <c r="G43" s="528" t="n"/>
      <c r="H43" s="528" t="n"/>
      <c r="I43" s="528" t="n"/>
      <c r="J43" s="528" t="n"/>
      <c r="K43" s="528" t="n"/>
      <c r="L43" s="528" t="n"/>
    </row>
    <row r="44" ht="12.75" customHeight="1" s="220">
      <c r="A44" s="408" t="n"/>
      <c r="B44" s="225" t="n"/>
      <c r="C44" s="225" t="n"/>
      <c r="D44" s="225" t="n"/>
      <c r="E44" s="225" t="n"/>
      <c r="F44" s="225" t="n"/>
      <c r="G44" s="225" t="n"/>
      <c r="H44" s="225" t="n"/>
      <c r="I44" s="225" t="n"/>
      <c r="J44" s="225" t="n"/>
      <c r="K44" s="225" t="n"/>
      <c r="L44" s="225" t="n"/>
    </row>
    <row r="45" ht="12.75" customHeight="1" s="220">
      <c r="A45" s="409" t="n"/>
      <c r="B45" s="538" t="n"/>
      <c r="C45" s="538" t="n"/>
      <c r="D45" s="538" t="n"/>
      <c r="E45" s="538" t="n"/>
      <c r="F45" s="538" t="n"/>
      <c r="G45" s="538" t="n"/>
      <c r="H45" s="538" t="n"/>
      <c r="I45" s="538" t="n"/>
      <c r="J45" s="538" t="n"/>
      <c r="K45" s="538" t="n"/>
      <c r="L45" s="539" t="n"/>
    </row>
    <row r="46" ht="12.75" customHeight="1" s="220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 ht="12.75" customHeight="1" s="220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 ht="12.75" customHeight="1" s="220">
      <c r="A48" s="405" t="n"/>
      <c r="B48" s="536" t="n"/>
      <c r="C48" s="536" t="n"/>
      <c r="D48" s="536" t="n"/>
      <c r="E48" s="536" t="n"/>
      <c r="F48" s="536" t="n"/>
      <c r="G48" s="536" t="n"/>
      <c r="H48" s="536" t="n"/>
      <c r="I48" s="536" t="n"/>
      <c r="J48" s="536" t="n"/>
      <c r="K48" s="536" t="n"/>
      <c r="L48" s="537" t="n"/>
    </row>
    <row r="49" ht="12.75" customHeight="1" s="220">
      <c r="A49" s="405" t="n"/>
      <c r="B49" s="536" t="n"/>
      <c r="C49" s="536" t="n"/>
      <c r="D49" s="536" t="n"/>
      <c r="E49" s="536" t="n"/>
      <c r="F49" s="536" t="n"/>
      <c r="G49" s="536" t="n"/>
      <c r="H49" s="536" t="n"/>
      <c r="I49" s="536" t="n"/>
      <c r="J49" s="536" t="n"/>
      <c r="K49" s="536" t="n"/>
      <c r="L49" s="537" t="n"/>
    </row>
    <row r="50" ht="12.75" customHeight="1" s="220">
      <c r="A50" s="406" t="n"/>
      <c r="B50" s="225" t="n"/>
      <c r="C50" s="225" t="n"/>
      <c r="D50" s="225" t="n"/>
      <c r="E50" s="225" t="n"/>
      <c r="F50" s="225" t="n"/>
      <c r="G50" s="225" t="n"/>
      <c r="H50" s="225" t="n"/>
      <c r="I50" s="225" t="n"/>
      <c r="J50" s="225" t="n"/>
      <c r="K50" s="225" t="n"/>
      <c r="L50" s="225" t="n"/>
    </row>
    <row r="51" ht="12.75" customHeight="1" s="220"/>
    <row r="52" ht="12.75" customHeight="1" s="220"/>
    <row r="53" ht="12.75" customHeight="1" s="220"/>
    <row r="54" ht="12.75" customHeight="1" s="220"/>
    <row r="55" ht="12.75" customHeight="1" s="220"/>
    <row r="56" ht="12.75" customHeight="1" s="220"/>
    <row r="57" ht="12.75" customHeight="1" s="220"/>
    <row r="58" ht="12.75" customHeight="1" s="220"/>
    <row r="59" ht="12.75" customHeight="1" s="220"/>
    <row r="60" ht="12.75" customHeight="1" s="220"/>
    <row r="61" ht="12.75" customHeight="1" s="220"/>
  </sheetData>
  <mergeCells count="83">
    <mergeCell ref="E30:J30"/>
    <mergeCell ref="K30:L30"/>
    <mergeCell ref="E33:J33"/>
    <mergeCell ref="K33:L33"/>
    <mergeCell ref="E32:J32"/>
    <mergeCell ref="K32:L32"/>
    <mergeCell ref="E31:J31"/>
    <mergeCell ref="K31:L31"/>
    <mergeCell ref="B38:L38"/>
    <mergeCell ref="A35:L35"/>
    <mergeCell ref="B36:L36"/>
    <mergeCell ref="B37:L37"/>
    <mergeCell ref="A50:L50"/>
    <mergeCell ref="B39:L39"/>
    <mergeCell ref="B40:L40"/>
    <mergeCell ref="B41:L41"/>
    <mergeCell ref="A42:L42"/>
    <mergeCell ref="A43:L43"/>
    <mergeCell ref="A44:L44"/>
    <mergeCell ref="A45:L45"/>
    <mergeCell ref="A46:L46"/>
    <mergeCell ref="A47:L47"/>
    <mergeCell ref="A48:L48"/>
    <mergeCell ref="A49:L49"/>
    <mergeCell ref="Q6:V6"/>
    <mergeCell ref="A7:B7"/>
    <mergeCell ref="C7:D7"/>
    <mergeCell ref="E7:J7"/>
    <mergeCell ref="K7:L7"/>
    <mergeCell ref="Q7:S7"/>
    <mergeCell ref="T7:V7"/>
    <mergeCell ref="A6:L6"/>
    <mergeCell ref="E13:J13"/>
    <mergeCell ref="K13:L13"/>
    <mergeCell ref="E14:J14"/>
    <mergeCell ref="E8:J8"/>
    <mergeCell ref="K8:L8"/>
    <mergeCell ref="K10:L10"/>
    <mergeCell ref="E11:J11"/>
    <mergeCell ref="K11:L11"/>
    <mergeCell ref="E12:J12"/>
    <mergeCell ref="K12:L12"/>
    <mergeCell ref="E9:J9"/>
    <mergeCell ref="K9:L9"/>
    <mergeCell ref="E10:J10"/>
    <mergeCell ref="K14:L14"/>
    <mergeCell ref="A1:L1"/>
    <mergeCell ref="A2:L2"/>
    <mergeCell ref="A3:L3"/>
    <mergeCell ref="A4:L4"/>
    <mergeCell ref="A5:L5"/>
    <mergeCell ref="E15:J15"/>
    <mergeCell ref="K15:L15"/>
    <mergeCell ref="E16:J16"/>
    <mergeCell ref="K16:L16"/>
    <mergeCell ref="E29:J29"/>
    <mergeCell ref="K29:L29"/>
    <mergeCell ref="E17:J17"/>
    <mergeCell ref="K17:L17"/>
    <mergeCell ref="E18:J18"/>
    <mergeCell ref="K18:L18"/>
    <mergeCell ref="E21:J21"/>
    <mergeCell ref="K21:L21"/>
    <mergeCell ref="E26:J26"/>
    <mergeCell ref="K26:L26"/>
    <mergeCell ref="E27:J27"/>
    <mergeCell ref="K27:L27"/>
    <mergeCell ref="E34:J34"/>
    <mergeCell ref="K34:L34"/>
    <mergeCell ref="E19:J19"/>
    <mergeCell ref="K19:L19"/>
    <mergeCell ref="E20:J20"/>
    <mergeCell ref="K20:L20"/>
    <mergeCell ref="E22:J22"/>
    <mergeCell ref="K22:L22"/>
    <mergeCell ref="E23:J23"/>
    <mergeCell ref="K23:L23"/>
    <mergeCell ref="E24:J24"/>
    <mergeCell ref="K24:L24"/>
    <mergeCell ref="E25:J25"/>
    <mergeCell ref="K25:L25"/>
    <mergeCell ref="E28:J28"/>
    <mergeCell ref="K28:L28"/>
  </mergeCells>
  <conditionalFormatting sqref="A36:A41 K28:L29 K34:L34">
    <cfRule type="containsText" priority="967" operator="containsText" dxfId="6" stopIfTrue="1" text="0">
      <formula>NOT(ISERROR(SEARCH("0",A28)))</formula>
    </cfRule>
    <cfRule type="containsText" priority="968" operator="containsText" dxfId="5" stopIfTrue="1" text="1">
      <formula>NOT(ISERROR(SEARCH("1",A28)))</formula>
    </cfRule>
    <cfRule type="containsText" priority="969" operator="containsText" dxfId="4" stopIfTrue="1" text="2">
      <formula>NOT(ISERROR(SEARCH("2",A28)))</formula>
    </cfRule>
    <cfRule type="containsText" priority="970" operator="containsText" dxfId="3" stopIfTrue="1" text="3">
      <formula>NOT(ISERROR(SEARCH("3",A28)))</formula>
    </cfRule>
    <cfRule type="containsText" priority="971" operator="containsText" dxfId="2" stopIfTrue="1" text="4">
      <formula>NOT(ISERROR(SEARCH("4",A28)))</formula>
    </cfRule>
    <cfRule type="containsText" priority="972" operator="containsText" dxfId="1" stopIfTrue="1" text="5">
      <formula>NOT(ISERROR(SEARCH("5",A28)))</formula>
    </cfRule>
  </conditionalFormatting>
  <conditionalFormatting sqref="K25:L25">
    <cfRule type="containsText" priority="301" operator="containsText" dxfId="6" stopIfTrue="1" text="0">
      <formula>NOT(ISERROR(SEARCH("0",K25)))</formula>
    </cfRule>
    <cfRule type="containsText" priority="302" operator="containsText" dxfId="5" stopIfTrue="1" text="1">
      <formula>NOT(ISERROR(SEARCH("1",K25)))</formula>
    </cfRule>
    <cfRule type="containsText" priority="303" operator="containsText" dxfId="4" stopIfTrue="1" text="2">
      <formula>NOT(ISERROR(SEARCH("2",K25)))</formula>
    </cfRule>
    <cfRule type="containsText" priority="304" operator="containsText" dxfId="3" stopIfTrue="1" text="3">
      <formula>NOT(ISERROR(SEARCH("3",K25)))</formula>
    </cfRule>
    <cfRule type="containsText" priority="305" operator="containsText" dxfId="2" stopIfTrue="1" text="4">
      <formula>NOT(ISERROR(SEARCH("4",K25)))</formula>
    </cfRule>
    <cfRule type="containsText" priority="306" operator="containsText" dxfId="1" stopIfTrue="1" text="5">
      <formula>NOT(ISERROR(SEARCH("5",K25)))</formula>
    </cfRule>
  </conditionalFormatting>
  <conditionalFormatting sqref="K10:L10">
    <cfRule type="containsText" priority="169" operator="containsText" dxfId="6" stopIfTrue="1" text="0">
      <formula>NOT(ISERROR(SEARCH("0",K10)))</formula>
    </cfRule>
    <cfRule type="containsText" priority="170" operator="containsText" dxfId="5" stopIfTrue="1" text="1">
      <formula>NOT(ISERROR(SEARCH("1",K10)))</formula>
    </cfRule>
    <cfRule type="containsText" priority="171" operator="containsText" dxfId="4" stopIfTrue="1" text="2">
      <formula>NOT(ISERROR(SEARCH("2",K10)))</formula>
    </cfRule>
    <cfRule type="containsText" priority="172" operator="containsText" dxfId="3" stopIfTrue="1" text="3">
      <formula>NOT(ISERROR(SEARCH("3",K10)))</formula>
    </cfRule>
    <cfRule type="containsText" priority="173" operator="containsText" dxfId="2" stopIfTrue="1" text="4">
      <formula>NOT(ISERROR(SEARCH("4",K10)))</formula>
    </cfRule>
    <cfRule type="containsText" priority="174" operator="containsText" dxfId="1" stopIfTrue="1" text="5">
      <formula>NOT(ISERROR(SEARCH("5",K10)))</formula>
    </cfRule>
  </conditionalFormatting>
  <conditionalFormatting sqref="K24:L24">
    <cfRule type="containsText" priority="205" operator="containsText" dxfId="6" stopIfTrue="1" text="0">
      <formula>NOT(ISERROR(SEARCH("0",K24)))</formula>
    </cfRule>
    <cfRule type="containsText" priority="206" operator="containsText" dxfId="5" stopIfTrue="1" text="1">
      <formula>NOT(ISERROR(SEARCH("1",K24)))</formula>
    </cfRule>
    <cfRule type="containsText" priority="207" operator="containsText" dxfId="4" stopIfTrue="1" text="2">
      <formula>NOT(ISERROR(SEARCH("2",K24)))</formula>
    </cfRule>
    <cfRule type="containsText" priority="208" operator="containsText" dxfId="3" stopIfTrue="1" text="3">
      <formula>NOT(ISERROR(SEARCH("3",K24)))</formula>
    </cfRule>
    <cfRule type="containsText" priority="209" operator="containsText" dxfId="2" stopIfTrue="1" text="4">
      <formula>NOT(ISERROR(SEARCH("4",K24)))</formula>
    </cfRule>
    <cfRule type="containsText" priority="210" operator="containsText" dxfId="1" stopIfTrue="1" text="5">
      <formula>NOT(ISERROR(SEARCH("5",K24)))</formula>
    </cfRule>
  </conditionalFormatting>
  <conditionalFormatting sqref="K23:L23">
    <cfRule type="containsText" priority="97" operator="containsText" dxfId="6" stopIfTrue="1" text="0">
      <formula>NOT(ISERROR(SEARCH("0",K23)))</formula>
    </cfRule>
    <cfRule type="containsText" priority="98" operator="containsText" dxfId="5" stopIfTrue="1" text="1">
      <formula>NOT(ISERROR(SEARCH("1",K23)))</formula>
    </cfRule>
    <cfRule type="containsText" priority="99" operator="containsText" dxfId="4" stopIfTrue="1" text="2">
      <formula>NOT(ISERROR(SEARCH("2",K23)))</formula>
    </cfRule>
    <cfRule type="containsText" priority="100" operator="containsText" dxfId="3" stopIfTrue="1" text="3">
      <formula>NOT(ISERROR(SEARCH("3",K23)))</formula>
    </cfRule>
    <cfRule type="containsText" priority="101" operator="containsText" dxfId="2" stopIfTrue="1" text="4">
      <formula>NOT(ISERROR(SEARCH("4",K23)))</formula>
    </cfRule>
    <cfRule type="containsText" priority="102" operator="containsText" dxfId="1" stopIfTrue="1" text="5">
      <formula>NOT(ISERROR(SEARCH("5",K23)))</formula>
    </cfRule>
  </conditionalFormatting>
  <conditionalFormatting sqref="K26:L26">
    <cfRule type="containsText" priority="85" operator="containsText" dxfId="6" stopIfTrue="1" text="0">
      <formula>NOT(ISERROR(SEARCH("0",K26)))</formula>
    </cfRule>
    <cfRule type="containsText" priority="86" operator="containsText" dxfId="5" stopIfTrue="1" text="1">
      <formula>NOT(ISERROR(SEARCH("1",K26)))</formula>
    </cfRule>
    <cfRule type="containsText" priority="87" operator="containsText" dxfId="4" stopIfTrue="1" text="2">
      <formula>NOT(ISERROR(SEARCH("2",K26)))</formula>
    </cfRule>
    <cfRule type="containsText" priority="88" operator="containsText" dxfId="3" stopIfTrue="1" text="3">
      <formula>NOT(ISERROR(SEARCH("3",K26)))</formula>
    </cfRule>
    <cfRule type="containsText" priority="89" operator="containsText" dxfId="2" stopIfTrue="1" text="4">
      <formula>NOT(ISERROR(SEARCH("4",K26)))</formula>
    </cfRule>
    <cfRule type="containsText" priority="90" operator="containsText" dxfId="1" stopIfTrue="1" text="5">
      <formula>NOT(ISERROR(SEARCH("5",K26)))</formula>
    </cfRule>
  </conditionalFormatting>
  <conditionalFormatting sqref="K27:L27">
    <cfRule type="containsText" priority="79" operator="containsText" dxfId="6" stopIfTrue="1" text="0">
      <formula>NOT(ISERROR(SEARCH("0",K27)))</formula>
    </cfRule>
    <cfRule type="containsText" priority="80" operator="containsText" dxfId="5" stopIfTrue="1" text="1">
      <formula>NOT(ISERROR(SEARCH("1",K27)))</formula>
    </cfRule>
    <cfRule type="containsText" priority="81" operator="containsText" dxfId="4" stopIfTrue="1" text="2">
      <formula>NOT(ISERROR(SEARCH("2",K27)))</formula>
    </cfRule>
    <cfRule type="containsText" priority="82" operator="containsText" dxfId="3" stopIfTrue="1" text="3">
      <formula>NOT(ISERROR(SEARCH("3",K27)))</formula>
    </cfRule>
    <cfRule type="containsText" priority="83" operator="containsText" dxfId="2" stopIfTrue="1" text="4">
      <formula>NOT(ISERROR(SEARCH("4",K27)))</formula>
    </cfRule>
    <cfRule type="containsText" priority="84" operator="containsText" dxfId="1" stopIfTrue="1" text="5">
      <formula>NOT(ISERROR(SEARCH("5",K27)))</formula>
    </cfRule>
  </conditionalFormatting>
  <conditionalFormatting sqref="K14:L14">
    <cfRule type="containsText" priority="151" operator="containsText" dxfId="6" stopIfTrue="1" text="0">
      <formula>NOT(ISERROR(SEARCH("0",K14)))</formula>
    </cfRule>
    <cfRule type="containsText" priority="152" operator="containsText" dxfId="5" stopIfTrue="1" text="1">
      <formula>NOT(ISERROR(SEARCH("1",K14)))</formula>
    </cfRule>
    <cfRule type="containsText" priority="153" operator="containsText" dxfId="4" stopIfTrue="1" text="2">
      <formula>NOT(ISERROR(SEARCH("2",K14)))</formula>
    </cfRule>
    <cfRule type="containsText" priority="154" operator="containsText" dxfId="3" stopIfTrue="1" text="3">
      <formula>NOT(ISERROR(SEARCH("3",K14)))</formula>
    </cfRule>
    <cfRule type="containsText" priority="155" operator="containsText" dxfId="2" stopIfTrue="1" text="4">
      <formula>NOT(ISERROR(SEARCH("4",K14)))</formula>
    </cfRule>
    <cfRule type="containsText" priority="156" operator="containsText" dxfId="1" stopIfTrue="1" text="5">
      <formula>NOT(ISERROR(SEARCH("5",K14)))</formula>
    </cfRule>
  </conditionalFormatting>
  <conditionalFormatting sqref="K20:L20">
    <cfRule type="containsText" priority="115" operator="containsText" dxfId="6" stopIfTrue="1" text="0">
      <formula>NOT(ISERROR(SEARCH("0",K20)))</formula>
    </cfRule>
    <cfRule type="containsText" priority="116" operator="containsText" dxfId="5" stopIfTrue="1" text="1">
      <formula>NOT(ISERROR(SEARCH("1",K20)))</formula>
    </cfRule>
    <cfRule type="containsText" priority="117" operator="containsText" dxfId="4" stopIfTrue="1" text="2">
      <formula>NOT(ISERROR(SEARCH("2",K20)))</formula>
    </cfRule>
    <cfRule type="containsText" priority="118" operator="containsText" dxfId="3" stopIfTrue="1" text="3">
      <formula>NOT(ISERROR(SEARCH("3",K20)))</formula>
    </cfRule>
    <cfRule type="containsText" priority="119" operator="containsText" dxfId="2" stopIfTrue="1" text="4">
      <formula>NOT(ISERROR(SEARCH("4",K20)))</formula>
    </cfRule>
    <cfRule type="containsText" priority="120" operator="containsText" dxfId="1" stopIfTrue="1" text="5">
      <formula>NOT(ISERROR(SEARCH("5",K20)))</formula>
    </cfRule>
  </conditionalFormatting>
  <conditionalFormatting sqref="K21:L21">
    <cfRule type="containsText" priority="109" operator="containsText" dxfId="6" stopIfTrue="1" text="0">
      <formula>NOT(ISERROR(SEARCH("0",K21)))</formula>
    </cfRule>
    <cfRule type="containsText" priority="110" operator="containsText" dxfId="5" stopIfTrue="1" text="1">
      <formula>NOT(ISERROR(SEARCH("1",K21)))</formula>
    </cfRule>
    <cfRule type="containsText" priority="111" operator="containsText" dxfId="4" stopIfTrue="1" text="2">
      <formula>NOT(ISERROR(SEARCH("2",K21)))</formula>
    </cfRule>
    <cfRule type="containsText" priority="112" operator="containsText" dxfId="3" stopIfTrue="1" text="3">
      <formula>NOT(ISERROR(SEARCH("3",K21)))</formula>
    </cfRule>
    <cfRule type="containsText" priority="113" operator="containsText" dxfId="2" stopIfTrue="1" text="4">
      <formula>NOT(ISERROR(SEARCH("4",K21)))</formula>
    </cfRule>
    <cfRule type="containsText" priority="114" operator="containsText" dxfId="1" stopIfTrue="1" text="5">
      <formula>NOT(ISERROR(SEARCH("5",K21)))</formula>
    </cfRule>
  </conditionalFormatting>
  <conditionalFormatting sqref="K22:L22">
    <cfRule type="containsText" priority="103" operator="containsText" dxfId="6" stopIfTrue="1" text="0">
      <formula>NOT(ISERROR(SEARCH("0",K22)))</formula>
    </cfRule>
    <cfRule type="containsText" priority="104" operator="containsText" dxfId="5" stopIfTrue="1" text="1">
      <formula>NOT(ISERROR(SEARCH("1",K22)))</formula>
    </cfRule>
    <cfRule type="containsText" priority="105" operator="containsText" dxfId="4" stopIfTrue="1" text="2">
      <formula>NOT(ISERROR(SEARCH("2",K22)))</formula>
    </cfRule>
    <cfRule type="containsText" priority="106" operator="containsText" dxfId="3" stopIfTrue="1" text="3">
      <formula>NOT(ISERROR(SEARCH("3",K22)))</formula>
    </cfRule>
    <cfRule type="containsText" priority="107" operator="containsText" dxfId="2" stopIfTrue="1" text="4">
      <formula>NOT(ISERROR(SEARCH("4",K22)))</formula>
    </cfRule>
    <cfRule type="containsText" priority="108" operator="containsText" dxfId="1" stopIfTrue="1" text="5">
      <formula>NOT(ISERROR(SEARCH("5",K22)))</formula>
    </cfRule>
  </conditionalFormatting>
  <conditionalFormatting sqref="K33:L33">
    <cfRule type="containsText" priority="73" operator="containsText" dxfId="6" stopIfTrue="1" text="0">
      <formula>NOT(ISERROR(SEARCH("0",K33)))</formula>
    </cfRule>
    <cfRule type="containsText" priority="74" operator="containsText" dxfId="5" stopIfTrue="1" text="1">
      <formula>NOT(ISERROR(SEARCH("1",K33)))</formula>
    </cfRule>
    <cfRule type="containsText" priority="75" operator="containsText" dxfId="4" stopIfTrue="1" text="2">
      <formula>NOT(ISERROR(SEARCH("2",K33)))</formula>
    </cfRule>
    <cfRule type="containsText" priority="76" operator="containsText" dxfId="3" stopIfTrue="1" text="3">
      <formula>NOT(ISERROR(SEARCH("3",K33)))</formula>
    </cfRule>
    <cfRule type="containsText" priority="77" operator="containsText" dxfId="2" stopIfTrue="1" text="4">
      <formula>NOT(ISERROR(SEARCH("4",K33)))</formula>
    </cfRule>
    <cfRule type="containsText" priority="78" operator="containsText" dxfId="1" stopIfTrue="1" text="5">
      <formula>NOT(ISERROR(SEARCH("5",K33)))</formula>
    </cfRule>
  </conditionalFormatting>
  <conditionalFormatting sqref="K32:L32">
    <cfRule type="containsText" priority="67" operator="containsText" dxfId="6" stopIfTrue="1" text="0">
      <formula>NOT(ISERROR(SEARCH("0",K32)))</formula>
    </cfRule>
    <cfRule type="containsText" priority="68" operator="containsText" dxfId="5" stopIfTrue="1" text="1">
      <formula>NOT(ISERROR(SEARCH("1",K32)))</formula>
    </cfRule>
    <cfRule type="containsText" priority="69" operator="containsText" dxfId="4" stopIfTrue="1" text="2">
      <formula>NOT(ISERROR(SEARCH("2",K32)))</formula>
    </cfRule>
    <cfRule type="containsText" priority="70" operator="containsText" dxfId="3" stopIfTrue="1" text="3">
      <formula>NOT(ISERROR(SEARCH("3",K32)))</formula>
    </cfRule>
    <cfRule type="containsText" priority="71" operator="containsText" dxfId="2" stopIfTrue="1" text="4">
      <formula>NOT(ISERROR(SEARCH("4",K32)))</formula>
    </cfRule>
    <cfRule type="containsText" priority="72" operator="containsText" dxfId="1" stopIfTrue="1" text="5">
      <formula>NOT(ISERROR(SEARCH("5",K32)))</formula>
    </cfRule>
  </conditionalFormatting>
  <conditionalFormatting sqref="K31:L31">
    <cfRule type="containsText" priority="61" operator="containsText" dxfId="6" stopIfTrue="1" text="0">
      <formula>NOT(ISERROR(SEARCH("0",K31)))</formula>
    </cfRule>
    <cfRule type="containsText" priority="62" operator="containsText" dxfId="5" stopIfTrue="1" text="1">
      <formula>NOT(ISERROR(SEARCH("1",K31)))</formula>
    </cfRule>
    <cfRule type="containsText" priority="63" operator="containsText" dxfId="4" stopIfTrue="1" text="2">
      <formula>NOT(ISERROR(SEARCH("2",K31)))</formula>
    </cfRule>
    <cfRule type="containsText" priority="64" operator="containsText" dxfId="3" stopIfTrue="1" text="3">
      <formula>NOT(ISERROR(SEARCH("3",K31)))</formula>
    </cfRule>
    <cfRule type="containsText" priority="65" operator="containsText" dxfId="2" stopIfTrue="1" text="4">
      <formula>NOT(ISERROR(SEARCH("4",K31)))</formula>
    </cfRule>
    <cfRule type="containsText" priority="66" operator="containsText" dxfId="1" stopIfTrue="1" text="5">
      <formula>NOT(ISERROR(SEARCH("5",K31)))</formula>
    </cfRule>
  </conditionalFormatting>
  <conditionalFormatting sqref="K30:L30">
    <cfRule type="containsText" priority="55" operator="containsText" dxfId="6" stopIfTrue="1" text="0">
      <formula>NOT(ISERROR(SEARCH("0",K30)))</formula>
    </cfRule>
    <cfRule type="containsText" priority="56" operator="containsText" dxfId="5" stopIfTrue="1" text="1">
      <formula>NOT(ISERROR(SEARCH("1",K30)))</formula>
    </cfRule>
    <cfRule type="containsText" priority="57" operator="containsText" dxfId="4" stopIfTrue="1" text="2">
      <formula>NOT(ISERROR(SEARCH("2",K30)))</formula>
    </cfRule>
    <cfRule type="containsText" priority="58" operator="containsText" dxfId="3" stopIfTrue="1" text="3">
      <formula>NOT(ISERROR(SEARCH("3",K30)))</formula>
    </cfRule>
    <cfRule type="containsText" priority="59" operator="containsText" dxfId="2" stopIfTrue="1" text="4">
      <formula>NOT(ISERROR(SEARCH("4",K30)))</formula>
    </cfRule>
    <cfRule type="containsText" priority="60" operator="containsText" dxfId="1" stopIfTrue="1" text="5">
      <formula>NOT(ISERROR(SEARCH("5",K30)))</formula>
    </cfRule>
  </conditionalFormatting>
  <conditionalFormatting sqref="K9:L9">
    <cfRule type="containsText" priority="49" operator="containsText" dxfId="6" stopIfTrue="1" text="0">
      <formula>NOT(ISERROR(SEARCH("0",K9)))</formula>
    </cfRule>
    <cfRule type="containsText" priority="50" operator="containsText" dxfId="5" stopIfTrue="1" text="1">
      <formula>NOT(ISERROR(SEARCH("1",K9)))</formula>
    </cfRule>
    <cfRule type="containsText" priority="51" operator="containsText" dxfId="4" stopIfTrue="1" text="2">
      <formula>NOT(ISERROR(SEARCH("2",K9)))</formula>
    </cfRule>
    <cfRule type="containsText" priority="52" operator="containsText" dxfId="3" stopIfTrue="1" text="3">
      <formula>NOT(ISERROR(SEARCH("3",K9)))</formula>
    </cfRule>
    <cfRule type="containsText" priority="53" operator="containsText" dxfId="2" stopIfTrue="1" text="4">
      <formula>NOT(ISERROR(SEARCH("4",K9)))</formula>
    </cfRule>
    <cfRule type="containsText" priority="54" operator="containsText" dxfId="1" stopIfTrue="1" text="5">
      <formula>NOT(ISERROR(SEARCH("5",K9)))</formula>
    </cfRule>
  </conditionalFormatting>
  <conditionalFormatting sqref="K11:L11">
    <cfRule type="containsText" priority="43" operator="containsText" dxfId="6" stopIfTrue="1" text="0">
      <formula>NOT(ISERROR(SEARCH("0",K11)))</formula>
    </cfRule>
    <cfRule type="containsText" priority="44" operator="containsText" dxfId="5" stopIfTrue="1" text="1">
      <formula>NOT(ISERROR(SEARCH("1",K11)))</formula>
    </cfRule>
    <cfRule type="containsText" priority="45" operator="containsText" dxfId="4" stopIfTrue="1" text="2">
      <formula>NOT(ISERROR(SEARCH("2",K11)))</formula>
    </cfRule>
    <cfRule type="containsText" priority="46" operator="containsText" dxfId="3" stopIfTrue="1" text="3">
      <formula>NOT(ISERROR(SEARCH("3",K11)))</formula>
    </cfRule>
    <cfRule type="containsText" priority="47" operator="containsText" dxfId="2" stopIfTrue="1" text="4">
      <formula>NOT(ISERROR(SEARCH("4",K11)))</formula>
    </cfRule>
    <cfRule type="containsText" priority="48" operator="containsText" dxfId="1" stopIfTrue="1" text="5">
      <formula>NOT(ISERROR(SEARCH("5",K11)))</formula>
    </cfRule>
  </conditionalFormatting>
  <conditionalFormatting sqref="K12:L12">
    <cfRule type="containsText" priority="37" operator="containsText" dxfId="6" stopIfTrue="1" text="0">
      <formula>NOT(ISERROR(SEARCH("0",K12)))</formula>
    </cfRule>
    <cfRule type="containsText" priority="38" operator="containsText" dxfId="5" stopIfTrue="1" text="1">
      <formula>NOT(ISERROR(SEARCH("1",K12)))</formula>
    </cfRule>
    <cfRule type="containsText" priority="39" operator="containsText" dxfId="4" stopIfTrue="1" text="2">
      <formula>NOT(ISERROR(SEARCH("2",K12)))</formula>
    </cfRule>
    <cfRule type="containsText" priority="40" operator="containsText" dxfId="3" stopIfTrue="1" text="3">
      <formula>NOT(ISERROR(SEARCH("3",K12)))</formula>
    </cfRule>
    <cfRule type="containsText" priority="41" operator="containsText" dxfId="2" stopIfTrue="1" text="4">
      <formula>NOT(ISERROR(SEARCH("4",K12)))</formula>
    </cfRule>
    <cfRule type="containsText" priority="42" operator="containsText" dxfId="1" stopIfTrue="1" text="5">
      <formula>NOT(ISERROR(SEARCH("5",K12)))</formula>
    </cfRule>
  </conditionalFormatting>
  <conditionalFormatting sqref="K13:L13">
    <cfRule type="containsText" priority="31" operator="containsText" dxfId="6" stopIfTrue="1" text="0">
      <formula>NOT(ISERROR(SEARCH("0",K13)))</formula>
    </cfRule>
    <cfRule type="containsText" priority="32" operator="containsText" dxfId="5" stopIfTrue="1" text="1">
      <formula>NOT(ISERROR(SEARCH("1",K13)))</formula>
    </cfRule>
    <cfRule type="containsText" priority="33" operator="containsText" dxfId="4" stopIfTrue="1" text="2">
      <formula>NOT(ISERROR(SEARCH("2",K13)))</formula>
    </cfRule>
    <cfRule type="containsText" priority="34" operator="containsText" dxfId="3" stopIfTrue="1" text="3">
      <formula>NOT(ISERROR(SEARCH("3",K13)))</formula>
    </cfRule>
    <cfRule type="containsText" priority="35" operator="containsText" dxfId="2" stopIfTrue="1" text="4">
      <formula>NOT(ISERROR(SEARCH("4",K13)))</formula>
    </cfRule>
    <cfRule type="containsText" priority="36" operator="containsText" dxfId="1" stopIfTrue="1" text="5">
      <formula>NOT(ISERROR(SEARCH("5",K13)))</formula>
    </cfRule>
  </conditionalFormatting>
  <conditionalFormatting sqref="K15:L15">
    <cfRule type="containsText" priority="25" operator="containsText" dxfId="6" stopIfTrue="1" text="0">
      <formula>NOT(ISERROR(SEARCH("0",K15)))</formula>
    </cfRule>
    <cfRule type="containsText" priority="26" operator="containsText" dxfId="5" stopIfTrue="1" text="1">
      <formula>NOT(ISERROR(SEARCH("1",K15)))</formula>
    </cfRule>
    <cfRule type="containsText" priority="27" operator="containsText" dxfId="4" stopIfTrue="1" text="2">
      <formula>NOT(ISERROR(SEARCH("2",K15)))</formula>
    </cfRule>
    <cfRule type="containsText" priority="28" operator="containsText" dxfId="3" stopIfTrue="1" text="3">
      <formula>NOT(ISERROR(SEARCH("3",K15)))</formula>
    </cfRule>
    <cfRule type="containsText" priority="29" operator="containsText" dxfId="2" stopIfTrue="1" text="4">
      <formula>NOT(ISERROR(SEARCH("4",K15)))</formula>
    </cfRule>
    <cfRule type="containsText" priority="30" operator="containsText" dxfId="1" stopIfTrue="1" text="5">
      <formula>NOT(ISERROR(SEARCH("5",K15)))</formula>
    </cfRule>
  </conditionalFormatting>
  <conditionalFormatting sqref="K16:L16">
    <cfRule type="containsText" priority="19" operator="containsText" dxfId="6" stopIfTrue="1" text="0">
      <formula>NOT(ISERROR(SEARCH("0",K16)))</formula>
    </cfRule>
    <cfRule type="containsText" priority="20" operator="containsText" dxfId="5" stopIfTrue="1" text="1">
      <formula>NOT(ISERROR(SEARCH("1",K16)))</formula>
    </cfRule>
    <cfRule type="containsText" priority="21" operator="containsText" dxfId="4" stopIfTrue="1" text="2">
      <formula>NOT(ISERROR(SEARCH("2",K16)))</formula>
    </cfRule>
    <cfRule type="containsText" priority="22" operator="containsText" dxfId="3" stopIfTrue="1" text="3">
      <formula>NOT(ISERROR(SEARCH("3",K16)))</formula>
    </cfRule>
    <cfRule type="containsText" priority="23" operator="containsText" dxfId="2" stopIfTrue="1" text="4">
      <formula>NOT(ISERROR(SEARCH("4",K16)))</formula>
    </cfRule>
    <cfRule type="containsText" priority="24" operator="containsText" dxfId="1" stopIfTrue="1" text="5">
      <formula>NOT(ISERROR(SEARCH("5",K16)))</formula>
    </cfRule>
  </conditionalFormatting>
  <conditionalFormatting sqref="K17:L17">
    <cfRule type="containsText" priority="13" operator="containsText" dxfId="6" stopIfTrue="1" text="0">
      <formula>NOT(ISERROR(SEARCH("0",K17)))</formula>
    </cfRule>
    <cfRule type="containsText" priority="14" operator="containsText" dxfId="5" stopIfTrue="1" text="1">
      <formula>NOT(ISERROR(SEARCH("1",K17)))</formula>
    </cfRule>
    <cfRule type="containsText" priority="15" operator="containsText" dxfId="4" stopIfTrue="1" text="2">
      <formula>NOT(ISERROR(SEARCH("2",K17)))</formula>
    </cfRule>
    <cfRule type="containsText" priority="16" operator="containsText" dxfId="3" stopIfTrue="1" text="3">
      <formula>NOT(ISERROR(SEARCH("3",K17)))</formula>
    </cfRule>
    <cfRule type="containsText" priority="17" operator="containsText" dxfId="2" stopIfTrue="1" text="4">
      <formula>NOT(ISERROR(SEARCH("4",K17)))</formula>
    </cfRule>
    <cfRule type="containsText" priority="18" operator="containsText" dxfId="1" stopIfTrue="1" text="5">
      <formula>NOT(ISERROR(SEARCH("5",K17)))</formula>
    </cfRule>
  </conditionalFormatting>
  <conditionalFormatting sqref="K18:L18">
    <cfRule type="containsText" priority="7" operator="containsText" dxfId="6" stopIfTrue="1" text="0">
      <formula>NOT(ISERROR(SEARCH("0",K18)))</formula>
    </cfRule>
    <cfRule type="containsText" priority="8" operator="containsText" dxfId="5" stopIfTrue="1" text="1">
      <formula>NOT(ISERROR(SEARCH("1",K18)))</formula>
    </cfRule>
    <cfRule type="containsText" priority="9" operator="containsText" dxfId="4" stopIfTrue="1" text="2">
      <formula>NOT(ISERROR(SEARCH("2",K18)))</formula>
    </cfRule>
    <cfRule type="containsText" priority="10" operator="containsText" dxfId="3" stopIfTrue="1" text="3">
      <formula>NOT(ISERROR(SEARCH("3",K18)))</formula>
    </cfRule>
    <cfRule type="containsText" priority="11" operator="containsText" dxfId="2" stopIfTrue="1" text="4">
      <formula>NOT(ISERROR(SEARCH("4",K18)))</formula>
    </cfRule>
    <cfRule type="containsText" priority="12" operator="containsText" dxfId="1" stopIfTrue="1" text="5">
      <formula>NOT(ISERROR(SEARCH("5",K18)))</formula>
    </cfRule>
  </conditionalFormatting>
  <conditionalFormatting sqref="K19:L19">
    <cfRule type="containsText" priority="1" operator="containsText" dxfId="6" stopIfTrue="1" text="0">
      <formula>NOT(ISERROR(SEARCH("0",K19)))</formula>
    </cfRule>
    <cfRule type="containsText" priority="2" operator="containsText" dxfId="5" stopIfTrue="1" text="1">
      <formula>NOT(ISERROR(SEARCH("1",K19)))</formula>
    </cfRule>
    <cfRule type="containsText" priority="3" operator="containsText" dxfId="4" stopIfTrue="1" text="2">
      <formula>NOT(ISERROR(SEARCH("2",K19)))</formula>
    </cfRule>
    <cfRule type="containsText" priority="4" operator="containsText" dxfId="3" stopIfTrue="1" text="3">
      <formula>NOT(ISERROR(SEARCH("3",K19)))</formula>
    </cfRule>
    <cfRule type="containsText" priority="5" operator="containsText" dxfId="2" stopIfTrue="1" text="4">
      <formula>NOT(ISERROR(SEARCH("4",K19)))</formula>
    </cfRule>
    <cfRule type="containsText" priority="6" operator="containsText" dxfId="1" stopIfTrue="1" text="5">
      <formula>NOT(ISERROR(SEARCH("5",K19)))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9.xml><?xml version="1.0" encoding="utf-8"?>
<worksheet xmlns:r="http://schemas.openxmlformats.org/officeDocument/2006/relationships" xmlns="http://schemas.openxmlformats.org/spreadsheetml/2006/main">
  <sheetPr codeName="Sheet12">
    <outlinePr summaryBelow="1" summaryRight="1"/>
    <pageSetUpPr fitToPage="1"/>
  </sheetPr>
  <dimension ref="A1:Y46"/>
  <sheetViews>
    <sheetView zoomScaleNormal="100" workbookViewId="0">
      <selection activeCell="R3" sqref="R3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#5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23.25" customHeight="1" s="220">
      <c r="A9" s="129" t="n">
        <v>994</v>
      </c>
      <c r="B9" s="284" t="n">
        <v>1165</v>
      </c>
      <c r="C9" s="534" t="inlineStr">
        <is>
          <t>18-12%</t>
        </is>
      </c>
      <c r="D9" s="535" t="inlineStr">
        <is>
          <t>3-6%</t>
        </is>
      </c>
      <c r="E9" s="381" t="inlineStr">
        <is>
          <t xml:space="preserve">Low gamma mid 50's to low 50's, occ low 50's, low gas </t>
        </is>
      </c>
      <c r="F9" s="536" t="n"/>
      <c r="G9" s="536" t="n"/>
      <c r="H9" s="536" t="n"/>
      <c r="I9" s="536" t="n"/>
      <c r="J9" s="537" t="n"/>
      <c r="K9" s="384" t="n">
        <v>3</v>
      </c>
      <c r="L9" s="537" t="n"/>
      <c r="N9" s="133" t="n"/>
      <c r="Q9" s="284" t="n"/>
      <c r="R9" s="318" t="n"/>
      <c r="S9" s="319" t="n"/>
      <c r="T9" s="152" t="n"/>
      <c r="U9" s="284" t="n"/>
      <c r="V9" s="153" t="n"/>
      <c r="W9" s="147" t="n"/>
    </row>
    <row r="10" ht="12.75" customHeight="1" s="220">
      <c r="A10" s="129">
        <f>B9</f>
        <v/>
      </c>
      <c r="B10" s="284" t="n">
        <v>1255</v>
      </c>
      <c r="C10" s="534" t="inlineStr">
        <is>
          <t>18-12%</t>
        </is>
      </c>
      <c r="D10" s="535" t="inlineStr">
        <is>
          <t>3-9%</t>
        </is>
      </c>
      <c r="E10" s="381" t="inlineStr">
        <is>
          <t>Gd rock, lots of sliding, occ calc strn, mod gas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284" t="n"/>
      <c r="R10" s="318" t="n"/>
      <c r="S10" s="319" t="n"/>
      <c r="T10" s="152" t="n"/>
      <c r="U10" s="284" t="n"/>
      <c r="V10" s="153" t="n"/>
      <c r="W10" s="147" t="n"/>
    </row>
    <row r="11" ht="12.75" customHeight="1" s="220">
      <c r="A11" s="129">
        <f>B10</f>
        <v/>
      </c>
      <c r="B11" s="284" t="n">
        <v>1280</v>
      </c>
      <c r="C11" s="534" t="inlineStr">
        <is>
          <t>15-9%</t>
        </is>
      </c>
      <c r="D11" s="535" t="inlineStr">
        <is>
          <t>3-6%</t>
        </is>
      </c>
      <c r="E11" s="381" t="inlineStr">
        <is>
          <t>Com calc cmt, low gamma, low gas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284" t="n"/>
      <c r="R11" s="318" t="n"/>
      <c r="S11" s="319" t="n"/>
      <c r="T11" s="152" t="n"/>
      <c r="U11" s="284" t="n"/>
      <c r="V11" s="153" t="n"/>
      <c r="W11" s="147" t="n"/>
    </row>
    <row r="12" ht="12.75" customHeight="1" s="220">
      <c r="A12" s="129">
        <f>B11</f>
        <v/>
      </c>
      <c r="B12" s="284" t="n">
        <v>1360</v>
      </c>
      <c r="C12" s="534" t="inlineStr">
        <is>
          <t>15-9%</t>
        </is>
      </c>
      <c r="D12" s="535" t="inlineStr">
        <is>
          <t>0-3%</t>
        </is>
      </c>
      <c r="E12" s="381" t="inlineStr">
        <is>
          <t>Com silt strn, high gamma &gt;80, low gas</t>
        </is>
      </c>
      <c r="F12" s="536" t="n"/>
      <c r="G12" s="536" t="n"/>
      <c r="H12" s="536" t="n"/>
      <c r="I12" s="536" t="n"/>
      <c r="J12" s="537" t="n"/>
      <c r="K12" s="384" t="n">
        <v>3</v>
      </c>
      <c r="L12" s="537" t="n"/>
      <c r="N12" s="133" t="n"/>
      <c r="Q12" s="284" t="n"/>
      <c r="R12" s="318" t="n"/>
      <c r="S12" s="319" t="n"/>
      <c r="T12" s="152" t="n"/>
      <c r="U12" s="284" t="n"/>
      <c r="V12" s="153" t="n"/>
      <c r="W12" s="147" t="n"/>
    </row>
    <row r="13" ht="12.75" customHeight="1" s="220">
      <c r="A13" s="129">
        <f>B12</f>
        <v/>
      </c>
      <c r="B13" s="284" t="n">
        <v>1400</v>
      </c>
      <c r="C13" s="534" t="inlineStr">
        <is>
          <t>15-9%</t>
        </is>
      </c>
      <c r="D13" s="535" t="inlineStr">
        <is>
          <t>0-3%</t>
        </is>
      </c>
      <c r="E13" s="381" t="inlineStr">
        <is>
          <t>Dominate silt in cuttings</t>
        </is>
      </c>
      <c r="F13" s="536" t="n"/>
      <c r="G13" s="536" t="n"/>
      <c r="H13" s="536" t="n"/>
      <c r="I13" s="536" t="n"/>
      <c r="J13" s="537" t="n"/>
      <c r="K13" s="384" t="n">
        <v>2</v>
      </c>
      <c r="L13" s="537" t="n"/>
      <c r="N13" s="133" t="n"/>
      <c r="Q13" s="284" t="n"/>
      <c r="R13" s="318" t="n"/>
      <c r="S13" s="319" t="n"/>
      <c r="T13" s="320" t="n"/>
      <c r="U13" s="318" t="n"/>
      <c r="V13" s="321" t="n"/>
      <c r="W13" s="147" t="n"/>
    </row>
    <row r="14" ht="12.75" customHeight="1" s="220">
      <c r="A14" s="129">
        <f>B13</f>
        <v/>
      </c>
      <c r="B14" s="284" t="n">
        <v>1480</v>
      </c>
      <c r="C14" s="534" t="inlineStr">
        <is>
          <t>18-9%</t>
        </is>
      </c>
      <c r="D14" s="535" t="inlineStr">
        <is>
          <t>3-6%</t>
        </is>
      </c>
      <c r="E14" s="381" t="inlineStr">
        <is>
          <t>com silt strn, dec gamma &gt;80, low gas</t>
        </is>
      </c>
      <c r="F14" s="536" t="n"/>
      <c r="G14" s="536" t="n"/>
      <c r="H14" s="536" t="n"/>
      <c r="I14" s="536" t="n"/>
      <c r="J14" s="537" t="n"/>
      <c r="K14" s="384" t="n">
        <v>3</v>
      </c>
      <c r="L14" s="537" t="n"/>
      <c r="N14" s="133" t="n"/>
      <c r="Q14" s="284" t="n"/>
      <c r="R14" s="318" t="n"/>
      <c r="S14" s="319" t="n"/>
      <c r="T14" s="320" t="n"/>
      <c r="U14" s="318" t="n"/>
      <c r="V14" s="321" t="n"/>
      <c r="W14" s="148" t="n"/>
    </row>
    <row r="15" ht="12.75" customHeight="1" s="220">
      <c r="A15" s="129">
        <f>B14</f>
        <v/>
      </c>
      <c r="B15" s="284" t="n"/>
      <c r="C15" s="534" t="n"/>
      <c r="D15" s="535" t="n"/>
      <c r="E15" s="38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318" t="n"/>
      <c r="S15" s="319" t="n"/>
      <c r="T15" s="320" t="n"/>
      <c r="U15" s="318" t="n"/>
      <c r="V15" s="321" t="n"/>
      <c r="W15" s="147" t="n"/>
    </row>
    <row r="16" ht="25.5" customHeight="1" s="220">
      <c r="A16" s="129">
        <f>B15</f>
        <v/>
      </c>
      <c r="B16" s="284" t="n"/>
      <c r="C16" s="534" t="n"/>
      <c r="D16" s="535" t="n"/>
      <c r="E16" s="38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318" t="n"/>
      <c r="S16" s="319" t="n"/>
      <c r="T16" s="320" t="n"/>
      <c r="U16" s="318" t="n"/>
      <c r="V16" s="321" t="n"/>
      <c r="W16" s="147" t="n"/>
    </row>
    <row r="17" ht="12.75" customHeight="1" s="220">
      <c r="A17" s="129">
        <f>B16</f>
        <v/>
      </c>
      <c r="B17" s="284" t="n"/>
      <c r="C17" s="534" t="n"/>
      <c r="D17" s="535" t="n"/>
      <c r="E17" s="381" t="n"/>
      <c r="F17" s="536" t="n"/>
      <c r="G17" s="536" t="n"/>
      <c r="H17" s="536" t="n"/>
      <c r="I17" s="536" t="n"/>
      <c r="J17" s="537" t="n"/>
      <c r="K17" s="414" t="n"/>
      <c r="L17" s="536" t="n"/>
      <c r="N17" s="133" t="n"/>
      <c r="Q17" s="284" t="n"/>
      <c r="R17" s="318" t="n"/>
      <c r="S17" s="319" t="n"/>
      <c r="T17" s="320" t="n"/>
      <c r="U17" s="318" t="n"/>
      <c r="V17" s="321" t="n"/>
      <c r="W17" s="147" t="n"/>
    </row>
    <row r="18" ht="12.75" customHeight="1" s="220">
      <c r="A18" s="129">
        <f>B17</f>
        <v/>
      </c>
      <c r="B18" s="284" t="n"/>
      <c r="C18" s="534" t="n"/>
      <c r="D18" s="535" t="n"/>
      <c r="E18" s="38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318" t="n"/>
      <c r="S18" s="319" t="n"/>
      <c r="T18" s="320" t="n"/>
      <c r="U18" s="318" t="n"/>
      <c r="V18" s="321" t="n"/>
      <c r="W18" s="147" t="n"/>
    </row>
    <row r="19" ht="23.25" customHeight="1" s="220">
      <c r="A19" s="129">
        <f>B18</f>
        <v/>
      </c>
      <c r="B19" s="284" t="n"/>
      <c r="C19" s="534" t="n"/>
      <c r="D19" s="535" t="n"/>
      <c r="E19" s="38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318" t="n"/>
      <c r="S19" s="319" t="n"/>
      <c r="T19" s="320" t="n"/>
      <c r="U19" s="318" t="n"/>
      <c r="V19" s="321" t="n"/>
      <c r="W19" s="147" t="n"/>
    </row>
    <row r="20" ht="12.75" customHeight="1" s="220">
      <c r="A20" s="129" t="n"/>
      <c r="B20" s="284" t="n"/>
      <c r="C20" s="534" t="n"/>
      <c r="D20" s="535" t="n"/>
      <c r="E20" s="38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318" t="n"/>
      <c r="S20" s="319" t="n"/>
      <c r="T20" s="320" t="n"/>
      <c r="U20" s="318" t="n"/>
      <c r="V20" s="321" t="n"/>
      <c r="W20" s="147" t="n"/>
    </row>
    <row r="21" ht="12.75" customHeight="1" s="220">
      <c r="A21" s="129" t="n"/>
      <c r="B21" s="284" t="n"/>
      <c r="C21" s="534" t="n"/>
      <c r="D21" s="535" t="n"/>
      <c r="E21" s="38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318" t="n"/>
      <c r="S21" s="319" t="n"/>
      <c r="T21" s="320" t="n"/>
      <c r="U21" s="318" t="n"/>
      <c r="V21" s="321" t="n"/>
      <c r="W21" s="147" t="n"/>
    </row>
    <row r="22" ht="12.75" customHeight="1" s="220">
      <c r="A22" s="129" t="n"/>
      <c r="B22" s="284" t="n"/>
      <c r="C22" s="534" t="n"/>
      <c r="D22" s="535" t="n"/>
      <c r="E22" s="38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318" t="n"/>
      <c r="S22" s="319" t="n"/>
      <c r="T22" s="320" t="n"/>
      <c r="U22" s="318" t="n"/>
      <c r="V22" s="321" t="n"/>
      <c r="W22" s="147" t="n"/>
    </row>
    <row r="23" ht="24.75" customHeight="1" s="220">
      <c r="A23" s="129" t="n"/>
      <c r="B23" s="284" t="n"/>
      <c r="C23" s="534" t="n"/>
      <c r="D23" s="535" t="n"/>
      <c r="E23" s="38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318" t="n"/>
      <c r="S23" s="319" t="n"/>
      <c r="T23" s="320" t="n"/>
      <c r="U23" s="318" t="n"/>
      <c r="V23" s="321" t="n"/>
      <c r="W23" s="147" t="n"/>
    </row>
    <row r="24" ht="12.75" customHeight="1" s="220">
      <c r="A24" s="129" t="n"/>
      <c r="B24" s="284" t="n"/>
      <c r="C24" s="534" t="n"/>
      <c r="D24" s="535" t="n"/>
      <c r="E24" s="38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318" t="n"/>
      <c r="S24" s="319" t="n"/>
      <c r="T24" s="320" t="n"/>
      <c r="U24" s="318" t="n"/>
      <c r="V24" s="321" t="n"/>
      <c r="W24" s="147" t="n"/>
    </row>
    <row r="25" ht="15" customHeight="1" s="220">
      <c r="A25" s="129" t="n"/>
      <c r="B25" s="284" t="n"/>
      <c r="C25" s="534" t="n"/>
      <c r="D25" s="535" t="n"/>
      <c r="E25" s="38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318" t="n"/>
      <c r="S25" s="319" t="n"/>
      <c r="T25" s="320" t="n"/>
      <c r="U25" s="318" t="n"/>
      <c r="V25" s="321" t="n"/>
      <c r="W25" s="147" t="n"/>
    </row>
    <row r="26" ht="12.75" customHeight="1" s="220">
      <c r="A26" s="129" t="n"/>
      <c r="B26" s="284" t="n"/>
      <c r="C26" s="534" t="n"/>
      <c r="D26" s="535" t="n"/>
      <c r="E26" s="381" t="n"/>
      <c r="F26" s="536" t="n"/>
      <c r="G26" s="536" t="n"/>
      <c r="H26" s="536" t="n"/>
      <c r="I26" s="536" t="n"/>
      <c r="J26" s="537" t="n"/>
      <c r="K26" s="414" t="n"/>
      <c r="L26" s="536" t="n"/>
      <c r="N26" s="133" t="n"/>
      <c r="Q26" s="302" t="n"/>
      <c r="R26" s="318" t="n"/>
      <c r="S26" s="319" t="n"/>
      <c r="T26" s="322" t="n"/>
      <c r="U26" s="318" t="n"/>
      <c r="V26" s="319" t="n"/>
    </row>
    <row r="27" ht="24.75" customHeight="1" s="220">
      <c r="A27" s="129">
        <f>B26</f>
        <v/>
      </c>
      <c r="B27" s="284" t="n"/>
      <c r="C27" s="534" t="n"/>
      <c r="D27" s="535" t="n"/>
      <c r="E27" s="421" t="n"/>
      <c r="F27" s="536" t="n"/>
      <c r="G27" s="536" t="n"/>
      <c r="H27" s="536" t="n"/>
      <c r="I27" s="536" t="n"/>
      <c r="J27" s="537" t="n"/>
      <c r="K27" s="384" t="n"/>
      <c r="L27" s="537" t="n"/>
      <c r="N27" s="133" t="n"/>
      <c r="Q27" s="302" t="n"/>
      <c r="R27" s="318" t="n"/>
      <c r="S27" s="319" t="n"/>
      <c r="T27" s="283" t="n"/>
      <c r="U27" s="284" t="n"/>
      <c r="V27" s="285" t="n"/>
    </row>
    <row r="28" ht="24.75" customHeight="1" s="220">
      <c r="A28" s="129">
        <f>B27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302" t="n"/>
      <c r="R28" s="318" t="n"/>
      <c r="S28" s="319" t="n"/>
      <c r="T28" s="283" t="n"/>
      <c r="U28" s="284" t="n"/>
      <c r="V28" s="285" t="n"/>
    </row>
    <row r="29" ht="24.75" customHeight="1" s="220">
      <c r="A29" s="129">
        <f>B28</f>
        <v/>
      </c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302" t="n"/>
      <c r="R29" s="318" t="n"/>
      <c r="S29" s="319" t="n"/>
      <c r="T29" s="283" t="n"/>
      <c r="U29" s="284" t="n"/>
      <c r="V29" s="285" t="n"/>
    </row>
    <row r="30">
      <c r="A30" s="129">
        <f>B29</f>
        <v/>
      </c>
      <c r="B30" s="284" t="n"/>
      <c r="C30" s="534" t="n"/>
      <c r="D30" s="535" t="n"/>
      <c r="E30" s="421" t="n"/>
      <c r="F30" s="536" t="n"/>
      <c r="G30" s="536" t="n"/>
      <c r="H30" s="536" t="n"/>
      <c r="I30" s="536" t="n"/>
      <c r="J30" s="537" t="n"/>
      <c r="K30" s="384" t="n"/>
      <c r="L30" s="537" t="n"/>
      <c r="Q30" s="302" t="n"/>
      <c r="R30" s="284" t="n"/>
      <c r="S30" s="285" t="n"/>
      <c r="T30" s="283" t="n"/>
      <c r="U30" s="284" t="n"/>
      <c r="V30" s="285" t="n"/>
    </row>
    <row r="31">
      <c r="A31" s="389" t="inlineStr">
        <is>
          <t>Reservoir Quality / Representative Sample</t>
        </is>
      </c>
      <c r="B31" s="526" t="n"/>
      <c r="C31" s="526" t="n"/>
      <c r="D31" s="526" t="n"/>
      <c r="E31" s="526" t="n"/>
      <c r="F31" s="526" t="n"/>
      <c r="G31" s="526" t="n"/>
      <c r="H31" s="526" t="n"/>
      <c r="I31" s="526" t="n"/>
      <c r="J31" s="526" t="n"/>
      <c r="K31" s="526" t="n"/>
      <c r="L31" s="526" t="n"/>
    </row>
    <row r="32">
      <c r="A32" s="110" t="n">
        <v>5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>
      <c r="A33" s="110" t="n">
        <v>4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3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2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1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110" t="n">
        <v>0</v>
      </c>
      <c r="B37" s="412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410" t="n"/>
      <c r="B38" s="526" t="n"/>
      <c r="C38" s="526" t="n"/>
      <c r="D38" s="526" t="n"/>
      <c r="E38" s="526" t="n"/>
      <c r="F38" s="526" t="n"/>
      <c r="G38" s="526" t="n"/>
      <c r="H38" s="526" t="n"/>
      <c r="I38" s="526" t="n"/>
      <c r="J38" s="526" t="n"/>
      <c r="K38" s="526" t="n"/>
      <c r="L38" s="526" t="n"/>
    </row>
    <row r="39" ht="12.75" customHeight="1" s="220">
      <c r="A39" s="407" t="inlineStr">
        <is>
          <t>Geologist Notes / Updates</t>
        </is>
      </c>
      <c r="B39" s="528" t="n"/>
      <c r="C39" s="528" t="n"/>
      <c r="D39" s="528" t="n"/>
      <c r="E39" s="528" t="n"/>
      <c r="F39" s="528" t="n"/>
      <c r="G39" s="528" t="n"/>
      <c r="H39" s="528" t="n"/>
      <c r="I39" s="528" t="n"/>
      <c r="J39" s="528" t="n"/>
      <c r="K39" s="528" t="n"/>
      <c r="L39" s="528" t="n"/>
    </row>
    <row r="40" ht="12.75" customHeight="1" s="220">
      <c r="A40" s="408" t="n"/>
      <c r="B40" s="225" t="n"/>
      <c r="C40" s="225" t="n"/>
      <c r="D40" s="225" t="n"/>
      <c r="E40" s="225" t="n"/>
      <c r="F40" s="225" t="n"/>
      <c r="G40" s="225" t="n"/>
      <c r="H40" s="225" t="n"/>
      <c r="I40" s="225" t="n"/>
      <c r="J40" s="225" t="n"/>
      <c r="K40" s="225" t="n"/>
      <c r="L40" s="225" t="n"/>
    </row>
    <row r="41">
      <c r="A41" s="409" t="n"/>
      <c r="B41" s="538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9" t="n"/>
    </row>
    <row r="42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5" t="n"/>
      <c r="B45" s="536" t="n"/>
      <c r="C45" s="536" t="n"/>
      <c r="D45" s="536" t="n"/>
      <c r="E45" s="536" t="n"/>
      <c r="F45" s="536" t="n"/>
      <c r="G45" s="536" t="n"/>
      <c r="H45" s="536" t="n"/>
      <c r="I45" s="536" t="n"/>
      <c r="J45" s="536" t="n"/>
      <c r="K45" s="536" t="n"/>
      <c r="L45" s="537" t="n"/>
    </row>
    <row r="46" ht="12.75" customHeight="1" s="220">
      <c r="A46" s="406" t="n"/>
      <c r="B46" s="225" t="n"/>
      <c r="C46" s="225" t="n"/>
      <c r="D46" s="225" t="n"/>
      <c r="E46" s="225" t="n"/>
      <c r="F46" s="225" t="n"/>
      <c r="G46" s="225" t="n"/>
      <c r="H46" s="225" t="n"/>
      <c r="I46" s="225" t="n"/>
      <c r="J46" s="225" t="n"/>
      <c r="K46" s="225" t="n"/>
      <c r="L46" s="225" t="n"/>
    </row>
    <row r="47" ht="12.75" customHeight="1" s="220"/>
    <row r="48" ht="12.75" customHeight="1" s="220"/>
    <row r="49" ht="12.75" customHeight="1" s="220"/>
    <row r="50" ht="12.75" customHeight="1" s="220"/>
  </sheetData>
  <mergeCells count="75">
    <mergeCell ref="K26:L26"/>
    <mergeCell ref="E26:J26"/>
    <mergeCell ref="A46:L46"/>
    <mergeCell ref="B35:L35"/>
    <mergeCell ref="B36:L36"/>
    <mergeCell ref="B37:L37"/>
    <mergeCell ref="A38:L38"/>
    <mergeCell ref="A39:L39"/>
    <mergeCell ref="A40:L40"/>
    <mergeCell ref="A41:L41"/>
    <mergeCell ref="A42:L42"/>
    <mergeCell ref="A43:L43"/>
    <mergeCell ref="A44:L44"/>
    <mergeCell ref="A45:L45"/>
    <mergeCell ref="B34:L34"/>
    <mergeCell ref="E27:J27"/>
    <mergeCell ref="K27:L27"/>
    <mergeCell ref="E28:J28"/>
    <mergeCell ref="K28:L28"/>
    <mergeCell ref="E30:J30"/>
    <mergeCell ref="K30:L30"/>
    <mergeCell ref="A31:L31"/>
    <mergeCell ref="B32:L32"/>
    <mergeCell ref="B33:L33"/>
    <mergeCell ref="E29:J29"/>
    <mergeCell ref="K29:L29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2:A37">
    <cfRule type="containsText" priority="619" operator="containsText" dxfId="6" stopIfTrue="1" text="0">
      <formula>NOT(ISERROR(SEARCH("0",A32)))</formula>
    </cfRule>
    <cfRule type="containsText" priority="620" operator="containsText" dxfId="5" stopIfTrue="1" text="1">
      <formula>NOT(ISERROR(SEARCH("1",A32)))</formula>
    </cfRule>
    <cfRule type="containsText" priority="621" operator="containsText" dxfId="4" stopIfTrue="1" text="2">
      <formula>NOT(ISERROR(SEARCH("2",A32)))</formula>
    </cfRule>
    <cfRule type="containsText" priority="622" operator="containsText" dxfId="3" stopIfTrue="1" text="3">
      <formula>NOT(ISERROR(SEARCH("3",A32)))</formula>
    </cfRule>
    <cfRule type="containsText" priority="623" operator="containsText" dxfId="2" stopIfTrue="1" text="4">
      <formula>NOT(ISERROR(SEARCH("4",A32)))</formula>
    </cfRule>
    <cfRule type="containsText" priority="624" operator="containsText" dxfId="1" stopIfTrue="1" text="5">
      <formula>NOT(ISERROR(SEARCH("5",A32)))</formula>
    </cfRule>
  </conditionalFormatting>
  <conditionalFormatting sqref="K30:L30">
    <cfRule type="containsText" priority="613" operator="containsText" dxfId="6" stopIfTrue="1" text="0">
      <formula>NOT(ISERROR(SEARCH("0",K30)))</formula>
    </cfRule>
    <cfRule type="containsText" priority="614" operator="containsText" dxfId="5" stopIfTrue="1" text="1">
      <formula>NOT(ISERROR(SEARCH("1",K30)))</formula>
    </cfRule>
    <cfRule type="containsText" priority="615" operator="containsText" dxfId="4" stopIfTrue="1" text="2">
      <formula>NOT(ISERROR(SEARCH("2",K30)))</formula>
    </cfRule>
    <cfRule type="containsText" priority="616" operator="containsText" dxfId="3" stopIfTrue="1" text="3">
      <formula>NOT(ISERROR(SEARCH("3",K30)))</formula>
    </cfRule>
    <cfRule type="containsText" priority="617" operator="containsText" dxfId="2" stopIfTrue="1" text="4">
      <formula>NOT(ISERROR(SEARCH("4",K30)))</formula>
    </cfRule>
    <cfRule type="containsText" priority="618" operator="containsText" dxfId="1" stopIfTrue="1" text="5">
      <formula>NOT(ISERROR(SEARCH("5",K30)))</formula>
    </cfRule>
  </conditionalFormatting>
  <conditionalFormatting sqref="K25:L25">
    <cfRule type="containsText" priority="247" operator="containsText" dxfId="6" stopIfTrue="1" text="0">
      <formula>NOT(ISERROR(SEARCH("0",K25)))</formula>
    </cfRule>
    <cfRule type="containsText" priority="248" operator="containsText" dxfId="5" stopIfTrue="1" text="1">
      <formula>NOT(ISERROR(SEARCH("1",K25)))</formula>
    </cfRule>
    <cfRule type="containsText" priority="249" operator="containsText" dxfId="4" stopIfTrue="1" text="2">
      <formula>NOT(ISERROR(SEARCH("2",K25)))</formula>
    </cfRule>
    <cfRule type="containsText" priority="250" operator="containsText" dxfId="3" stopIfTrue="1" text="3">
      <formula>NOT(ISERROR(SEARCH("3",K25)))</formula>
    </cfRule>
    <cfRule type="containsText" priority="251" operator="containsText" dxfId="2" stopIfTrue="1" text="4">
      <formula>NOT(ISERROR(SEARCH("4",K25)))</formula>
    </cfRule>
    <cfRule type="containsText" priority="252" operator="containsText" dxfId="1" stopIfTrue="1" text="5">
      <formula>NOT(ISERROR(SEARCH("5",K25)))</formula>
    </cfRule>
  </conditionalFormatting>
  <conditionalFormatting sqref="K26:L26">
    <cfRule type="containsText" priority="241" operator="containsText" dxfId="6" stopIfTrue="1" text="0">
      <formula>NOT(ISERROR(SEARCH("0",K26)))</formula>
    </cfRule>
    <cfRule type="containsText" priority="242" operator="containsText" dxfId="5" stopIfTrue="1" text="1">
      <formula>NOT(ISERROR(SEARCH("1",K26)))</formula>
    </cfRule>
    <cfRule type="containsText" priority="243" operator="containsText" dxfId="4" stopIfTrue="1" text="2">
      <formula>NOT(ISERROR(SEARCH("2",K26)))</formula>
    </cfRule>
    <cfRule type="containsText" priority="244" operator="containsText" dxfId="3" stopIfTrue="1" text="3">
      <formula>NOT(ISERROR(SEARCH("3",K26)))</formula>
    </cfRule>
    <cfRule type="containsText" priority="245" operator="containsText" dxfId="2" stopIfTrue="1" text="4">
      <formula>NOT(ISERROR(SEARCH("4",K26)))</formula>
    </cfRule>
    <cfRule type="containsText" priority="246" operator="containsText" dxfId="1" stopIfTrue="1" text="5">
      <formula>NOT(ISERROR(SEARCH("5",K26)))</formula>
    </cfRule>
  </conditionalFormatting>
  <conditionalFormatting sqref="K27:L27">
    <cfRule type="containsText" priority="235" operator="containsText" dxfId="6" stopIfTrue="1" text="0">
      <formula>NOT(ISERROR(SEARCH("0",K27)))</formula>
    </cfRule>
    <cfRule type="containsText" priority="236" operator="containsText" dxfId="5" stopIfTrue="1" text="1">
      <formula>NOT(ISERROR(SEARCH("1",K27)))</formula>
    </cfRule>
    <cfRule type="containsText" priority="237" operator="containsText" dxfId="4" stopIfTrue="1" text="2">
      <formula>NOT(ISERROR(SEARCH("2",K27)))</formula>
    </cfRule>
    <cfRule type="containsText" priority="238" operator="containsText" dxfId="3" stopIfTrue="1" text="3">
      <formula>NOT(ISERROR(SEARCH("3",K27)))</formula>
    </cfRule>
    <cfRule type="containsText" priority="239" operator="containsText" dxfId="2" stopIfTrue="1" text="4">
      <formula>NOT(ISERROR(SEARCH("4",K27)))</formula>
    </cfRule>
    <cfRule type="containsText" priority="240" operator="containsText" dxfId="1" stopIfTrue="1" text="5">
      <formula>NOT(ISERROR(SEARCH("5",K27)))</formula>
    </cfRule>
  </conditionalFormatting>
  <conditionalFormatting sqref="K28:L28">
    <cfRule type="containsText" priority="229" operator="containsText" dxfId="6" stopIfTrue="1" text="0">
      <formula>NOT(ISERROR(SEARCH("0",K28)))</formula>
    </cfRule>
    <cfRule type="containsText" priority="230" operator="containsText" dxfId="5" stopIfTrue="1" text="1">
      <formula>NOT(ISERROR(SEARCH("1",K28)))</formula>
    </cfRule>
    <cfRule type="containsText" priority="231" operator="containsText" dxfId="4" stopIfTrue="1" text="2">
      <formula>NOT(ISERROR(SEARCH("2",K28)))</formula>
    </cfRule>
    <cfRule type="containsText" priority="232" operator="containsText" dxfId="3" stopIfTrue="1" text="3">
      <formula>NOT(ISERROR(SEARCH("3",K28)))</formula>
    </cfRule>
    <cfRule type="containsText" priority="233" operator="containsText" dxfId="2" stopIfTrue="1" text="4">
      <formula>NOT(ISERROR(SEARCH("4",K28)))</formula>
    </cfRule>
    <cfRule type="containsText" priority="234" operator="containsText" dxfId="1" stopIfTrue="1" text="5">
      <formula>NOT(ISERROR(SEARCH("5",K28)))</formula>
    </cfRule>
  </conditionalFormatting>
  <conditionalFormatting sqref="K29:L29">
    <cfRule type="containsText" priority="217" operator="containsText" dxfId="6" stopIfTrue="1" text="0">
      <formula>NOT(ISERROR(SEARCH("0",K29)))</formula>
    </cfRule>
    <cfRule type="containsText" priority="218" operator="containsText" dxfId="5" stopIfTrue="1" text="1">
      <formula>NOT(ISERROR(SEARCH("1",K29)))</formula>
    </cfRule>
    <cfRule type="containsText" priority="219" operator="containsText" dxfId="4" stopIfTrue="1" text="2">
      <formula>NOT(ISERROR(SEARCH("2",K29)))</formula>
    </cfRule>
    <cfRule type="containsText" priority="220" operator="containsText" dxfId="3" stopIfTrue="1" text="3">
      <formula>NOT(ISERROR(SEARCH("3",K29)))</formula>
    </cfRule>
    <cfRule type="containsText" priority="221" operator="containsText" dxfId="2" stopIfTrue="1" text="4">
      <formula>NOT(ISERROR(SEARCH("4",K29)))</formula>
    </cfRule>
    <cfRule type="containsText" priority="222" operator="containsText" dxfId="1" stopIfTrue="1" text="5">
      <formula>NOT(ISERROR(SEARCH("5",K29)))</formula>
    </cfRule>
  </conditionalFormatting>
  <conditionalFormatting sqref="K22:L22 K24:L24">
    <cfRule type="containsText" priority="163" operator="containsText" dxfId="6" stopIfTrue="1" text="0">
      <formula>NOT(ISERROR(SEARCH("0",K22)))</formula>
    </cfRule>
    <cfRule type="containsText" priority="164" operator="containsText" dxfId="5" stopIfTrue="1" text="1">
      <formula>NOT(ISERROR(SEARCH("1",K22)))</formula>
    </cfRule>
    <cfRule type="containsText" priority="165" operator="containsText" dxfId="4" stopIfTrue="1" text="2">
      <formula>NOT(ISERROR(SEARCH("2",K22)))</formula>
    </cfRule>
    <cfRule type="containsText" priority="166" operator="containsText" dxfId="3" stopIfTrue="1" text="3">
      <formula>NOT(ISERROR(SEARCH("3",K22)))</formula>
    </cfRule>
    <cfRule type="containsText" priority="167" operator="containsText" dxfId="2" stopIfTrue="1" text="4">
      <formula>NOT(ISERROR(SEARCH("4",K22)))</formula>
    </cfRule>
    <cfRule type="containsText" priority="168" operator="containsText" dxfId="1" stopIfTrue="1" text="5">
      <formula>NOT(ISERROR(SEARCH("5",K22)))</formula>
    </cfRule>
  </conditionalFormatting>
  <conditionalFormatting sqref="K20:L20">
    <cfRule type="containsText" priority="169" operator="containsText" dxfId="6" stopIfTrue="1" text="0">
      <formula>NOT(ISERROR(SEARCH("0",K20)))</formula>
    </cfRule>
    <cfRule type="containsText" priority="170" operator="containsText" dxfId="5" stopIfTrue="1" text="1">
      <formula>NOT(ISERROR(SEARCH("1",K20)))</formula>
    </cfRule>
    <cfRule type="containsText" priority="171" operator="containsText" dxfId="4" stopIfTrue="1" text="2">
      <formula>NOT(ISERROR(SEARCH("2",K20)))</formula>
    </cfRule>
    <cfRule type="containsText" priority="172" operator="containsText" dxfId="3" stopIfTrue="1" text="3">
      <formula>NOT(ISERROR(SEARCH("3",K20)))</formula>
    </cfRule>
    <cfRule type="containsText" priority="173" operator="containsText" dxfId="2" stopIfTrue="1" text="4">
      <formula>NOT(ISERROR(SEARCH("4",K20)))</formula>
    </cfRule>
    <cfRule type="containsText" priority="174" operator="containsText" dxfId="1" stopIfTrue="1" text="5">
      <formula>NOT(ISERROR(SEARCH("5",K20)))</formula>
    </cfRule>
  </conditionalFormatting>
  <conditionalFormatting sqref="K9:L9">
    <cfRule type="containsText" priority="121" operator="containsText" dxfId="6" stopIfTrue="1" text="0">
      <formula>NOT(ISERROR(SEARCH("0",K9)))</formula>
    </cfRule>
    <cfRule type="containsText" priority="122" operator="containsText" dxfId="5" stopIfTrue="1" text="1">
      <formula>NOT(ISERROR(SEARCH("1",K9)))</formula>
    </cfRule>
    <cfRule type="containsText" priority="123" operator="containsText" dxfId="4" stopIfTrue="1" text="2">
      <formula>NOT(ISERROR(SEARCH("2",K9)))</formula>
    </cfRule>
    <cfRule type="containsText" priority="124" operator="containsText" dxfId="3" stopIfTrue="1" text="3">
      <formula>NOT(ISERROR(SEARCH("3",K9)))</formula>
    </cfRule>
    <cfRule type="containsText" priority="125" operator="containsText" dxfId="2" stopIfTrue="1" text="4">
      <formula>NOT(ISERROR(SEARCH("4",K9)))</formula>
    </cfRule>
    <cfRule type="containsText" priority="126" operator="containsText" dxfId="1" stopIfTrue="1" text="5">
      <formula>NOT(ISERROR(SEARCH("5",K9)))</formula>
    </cfRule>
  </conditionalFormatting>
  <conditionalFormatting sqref="K17:L17">
    <cfRule type="containsText" priority="73" operator="containsText" dxfId="6" stopIfTrue="1" text="0">
      <formula>NOT(ISERROR(SEARCH("0",K17)))</formula>
    </cfRule>
    <cfRule type="containsText" priority="74" operator="containsText" dxfId="5" stopIfTrue="1" text="1">
      <formula>NOT(ISERROR(SEARCH("1",K17)))</formula>
    </cfRule>
    <cfRule type="containsText" priority="75" operator="containsText" dxfId="4" stopIfTrue="1" text="2">
      <formula>NOT(ISERROR(SEARCH("2",K17)))</formula>
    </cfRule>
    <cfRule type="containsText" priority="76" operator="containsText" dxfId="3" stopIfTrue="1" text="3">
      <formula>NOT(ISERROR(SEARCH("3",K17)))</formula>
    </cfRule>
    <cfRule type="containsText" priority="77" operator="containsText" dxfId="2" stopIfTrue="1" text="4">
      <formula>NOT(ISERROR(SEARCH("4",K17)))</formula>
    </cfRule>
    <cfRule type="containsText" priority="78" operator="containsText" dxfId="1" stopIfTrue="1" text="5">
      <formula>NOT(ISERROR(SEARCH("5",K17)))</formula>
    </cfRule>
  </conditionalFormatting>
  <conditionalFormatting sqref="K10:L10">
    <cfRule type="containsText" priority="67" operator="containsText" dxfId="6" stopIfTrue="1" text="0">
      <formula>NOT(ISERROR(SEARCH("0",K10)))</formula>
    </cfRule>
    <cfRule type="containsText" priority="68" operator="containsText" dxfId="5" stopIfTrue="1" text="1">
      <formula>NOT(ISERROR(SEARCH("1",K10)))</formula>
    </cfRule>
    <cfRule type="containsText" priority="69" operator="containsText" dxfId="4" stopIfTrue="1" text="2">
      <formula>NOT(ISERROR(SEARCH("2",K10)))</formula>
    </cfRule>
    <cfRule type="containsText" priority="70" operator="containsText" dxfId="3" stopIfTrue="1" text="3">
      <formula>NOT(ISERROR(SEARCH("3",K10)))</formula>
    </cfRule>
    <cfRule type="containsText" priority="71" operator="containsText" dxfId="2" stopIfTrue="1" text="4">
      <formula>NOT(ISERROR(SEARCH("4",K10)))</formula>
    </cfRule>
    <cfRule type="containsText" priority="72" operator="containsText" dxfId="1" stopIfTrue="1" text="5">
      <formula>NOT(ISERROR(SEARCH("5",K10)))</formula>
    </cfRule>
  </conditionalFormatting>
  <conditionalFormatting sqref="K11:L11">
    <cfRule type="containsText" priority="61" operator="containsText" dxfId="6" stopIfTrue="1" text="0">
      <formula>NOT(ISERROR(SEARCH("0",K11)))</formula>
    </cfRule>
    <cfRule type="containsText" priority="62" operator="containsText" dxfId="5" stopIfTrue="1" text="1">
      <formula>NOT(ISERROR(SEARCH("1",K11)))</formula>
    </cfRule>
    <cfRule type="containsText" priority="63" operator="containsText" dxfId="4" stopIfTrue="1" text="2">
      <formula>NOT(ISERROR(SEARCH("2",K11)))</formula>
    </cfRule>
    <cfRule type="containsText" priority="64" operator="containsText" dxfId="3" stopIfTrue="1" text="3">
      <formula>NOT(ISERROR(SEARCH("3",K11)))</formula>
    </cfRule>
    <cfRule type="containsText" priority="65" operator="containsText" dxfId="2" stopIfTrue="1" text="4">
      <formula>NOT(ISERROR(SEARCH("4",K11)))</formula>
    </cfRule>
    <cfRule type="containsText" priority="66" operator="containsText" dxfId="1" stopIfTrue="1" text="5">
      <formula>NOT(ISERROR(SEARCH("5",K11)))</formula>
    </cfRule>
  </conditionalFormatting>
  <conditionalFormatting sqref="K12:L12">
    <cfRule type="containsText" priority="55" operator="containsText" dxfId="6" stopIfTrue="1" text="0">
      <formula>NOT(ISERROR(SEARCH("0",K12)))</formula>
    </cfRule>
    <cfRule type="containsText" priority="56" operator="containsText" dxfId="5" stopIfTrue="1" text="1">
      <formula>NOT(ISERROR(SEARCH("1",K12)))</formula>
    </cfRule>
    <cfRule type="containsText" priority="57" operator="containsText" dxfId="4" stopIfTrue="1" text="2">
      <formula>NOT(ISERROR(SEARCH("2",K12)))</formula>
    </cfRule>
    <cfRule type="containsText" priority="58" operator="containsText" dxfId="3" stopIfTrue="1" text="3">
      <formula>NOT(ISERROR(SEARCH("3",K12)))</formula>
    </cfRule>
    <cfRule type="containsText" priority="59" operator="containsText" dxfId="2" stopIfTrue="1" text="4">
      <formula>NOT(ISERROR(SEARCH("4",K12)))</formula>
    </cfRule>
    <cfRule type="containsText" priority="60" operator="containsText" dxfId="1" stopIfTrue="1" text="5">
      <formula>NOT(ISERROR(SEARCH("5",K12)))</formula>
    </cfRule>
  </conditionalFormatting>
  <conditionalFormatting sqref="K13:L13">
    <cfRule type="containsText" priority="49" operator="containsText" dxfId="6" stopIfTrue="1" text="0">
      <formula>NOT(ISERROR(SEARCH("0",K13)))</formula>
    </cfRule>
    <cfRule type="containsText" priority="50" operator="containsText" dxfId="5" stopIfTrue="1" text="1">
      <formula>NOT(ISERROR(SEARCH("1",K13)))</formula>
    </cfRule>
    <cfRule type="containsText" priority="51" operator="containsText" dxfId="4" stopIfTrue="1" text="2">
      <formula>NOT(ISERROR(SEARCH("2",K13)))</formula>
    </cfRule>
    <cfRule type="containsText" priority="52" operator="containsText" dxfId="3" stopIfTrue="1" text="3">
      <formula>NOT(ISERROR(SEARCH("3",K13)))</formula>
    </cfRule>
    <cfRule type="containsText" priority="53" operator="containsText" dxfId="2" stopIfTrue="1" text="4">
      <formula>NOT(ISERROR(SEARCH("4",K13)))</formula>
    </cfRule>
    <cfRule type="containsText" priority="54" operator="containsText" dxfId="1" stopIfTrue="1" text="5">
      <formula>NOT(ISERROR(SEARCH("5",K13)))</formula>
    </cfRule>
  </conditionalFormatting>
  <conditionalFormatting sqref="K14:L14">
    <cfRule type="containsText" priority="43" operator="containsText" dxfId="6" stopIfTrue="1" text="0">
      <formula>NOT(ISERROR(SEARCH("0",K14)))</formula>
    </cfRule>
    <cfRule type="containsText" priority="44" operator="containsText" dxfId="5" stopIfTrue="1" text="1">
      <formula>NOT(ISERROR(SEARCH("1",K14)))</formula>
    </cfRule>
    <cfRule type="containsText" priority="45" operator="containsText" dxfId="4" stopIfTrue="1" text="2">
      <formula>NOT(ISERROR(SEARCH("2",K14)))</formula>
    </cfRule>
    <cfRule type="containsText" priority="46" operator="containsText" dxfId="3" stopIfTrue="1" text="3">
      <formula>NOT(ISERROR(SEARCH("3",K14)))</formula>
    </cfRule>
    <cfRule type="containsText" priority="47" operator="containsText" dxfId="2" stopIfTrue="1" text="4">
      <formula>NOT(ISERROR(SEARCH("4",K14)))</formula>
    </cfRule>
    <cfRule type="containsText" priority="48" operator="containsText" dxfId="1" stopIfTrue="1" text="5">
      <formula>NOT(ISERROR(SEARCH("5",K14)))</formula>
    </cfRule>
  </conditionalFormatting>
  <conditionalFormatting sqref="K15:L15">
    <cfRule type="containsText" priority="37" operator="containsText" dxfId="6" stopIfTrue="1" text="0">
      <formula>NOT(ISERROR(SEARCH("0",K15)))</formula>
    </cfRule>
    <cfRule type="containsText" priority="38" operator="containsText" dxfId="5" stopIfTrue="1" text="1">
      <formula>NOT(ISERROR(SEARCH("1",K15)))</formula>
    </cfRule>
    <cfRule type="containsText" priority="39" operator="containsText" dxfId="4" stopIfTrue="1" text="2">
      <formula>NOT(ISERROR(SEARCH("2",K15)))</formula>
    </cfRule>
    <cfRule type="containsText" priority="40" operator="containsText" dxfId="3" stopIfTrue="1" text="3">
      <formula>NOT(ISERROR(SEARCH("3",K15)))</formula>
    </cfRule>
    <cfRule type="containsText" priority="41" operator="containsText" dxfId="2" stopIfTrue="1" text="4">
      <formula>NOT(ISERROR(SEARCH("4",K15)))</formula>
    </cfRule>
    <cfRule type="containsText" priority="42" operator="containsText" dxfId="1" stopIfTrue="1" text="5">
      <formula>NOT(ISERROR(SEARCH("5",K15)))</formula>
    </cfRule>
  </conditionalFormatting>
  <conditionalFormatting sqref="K16:L16">
    <cfRule type="containsText" priority="31" operator="containsText" dxfId="6" stopIfTrue="1" text="0">
      <formula>NOT(ISERROR(SEARCH("0",K16)))</formula>
    </cfRule>
    <cfRule type="containsText" priority="32" operator="containsText" dxfId="5" stopIfTrue="1" text="1">
      <formula>NOT(ISERROR(SEARCH("1",K16)))</formula>
    </cfRule>
    <cfRule type="containsText" priority="33" operator="containsText" dxfId="4" stopIfTrue="1" text="2">
      <formula>NOT(ISERROR(SEARCH("2",K16)))</formula>
    </cfRule>
    <cfRule type="containsText" priority="34" operator="containsText" dxfId="3" stopIfTrue="1" text="3">
      <formula>NOT(ISERROR(SEARCH("3",K16)))</formula>
    </cfRule>
    <cfRule type="containsText" priority="35" operator="containsText" dxfId="2" stopIfTrue="1" text="4">
      <formula>NOT(ISERROR(SEARCH("4",K16)))</formula>
    </cfRule>
    <cfRule type="containsText" priority="36" operator="containsText" dxfId="1" stopIfTrue="1" text="5">
      <formula>NOT(ISERROR(SEARCH("5",K16)))</formula>
    </cfRule>
  </conditionalFormatting>
  <conditionalFormatting sqref="K18:L18">
    <cfRule type="containsText" priority="25" operator="containsText" dxfId="6" stopIfTrue="1" text="0">
      <formula>NOT(ISERROR(SEARCH("0",K18)))</formula>
    </cfRule>
    <cfRule type="containsText" priority="26" operator="containsText" dxfId="5" stopIfTrue="1" text="1">
      <formula>NOT(ISERROR(SEARCH("1",K18)))</formula>
    </cfRule>
    <cfRule type="containsText" priority="27" operator="containsText" dxfId="4" stopIfTrue="1" text="2">
      <formula>NOT(ISERROR(SEARCH("2",K18)))</formula>
    </cfRule>
    <cfRule type="containsText" priority="28" operator="containsText" dxfId="3" stopIfTrue="1" text="3">
      <formula>NOT(ISERROR(SEARCH("3",K18)))</formula>
    </cfRule>
    <cfRule type="containsText" priority="29" operator="containsText" dxfId="2" stopIfTrue="1" text="4">
      <formula>NOT(ISERROR(SEARCH("4",K18)))</formula>
    </cfRule>
    <cfRule type="containsText" priority="30" operator="containsText" dxfId="1" stopIfTrue="1" text="5">
      <formula>NOT(ISERROR(SEARCH("5",K18)))</formula>
    </cfRule>
  </conditionalFormatting>
  <conditionalFormatting sqref="K19:L19">
    <cfRule type="containsText" priority="19" operator="containsText" dxfId="6" stopIfTrue="1" text="0">
      <formula>NOT(ISERROR(SEARCH("0",K19)))</formula>
    </cfRule>
    <cfRule type="containsText" priority="20" operator="containsText" dxfId="5" stopIfTrue="1" text="1">
      <formula>NOT(ISERROR(SEARCH("1",K19)))</formula>
    </cfRule>
    <cfRule type="containsText" priority="21" operator="containsText" dxfId="4" stopIfTrue="1" text="2">
      <formula>NOT(ISERROR(SEARCH("2",K19)))</formula>
    </cfRule>
    <cfRule type="containsText" priority="22" operator="containsText" dxfId="3" stopIfTrue="1" text="3">
      <formula>NOT(ISERROR(SEARCH("3",K19)))</formula>
    </cfRule>
    <cfRule type="containsText" priority="23" operator="containsText" dxfId="2" stopIfTrue="1" text="4">
      <formula>NOT(ISERROR(SEARCH("4",K19)))</formula>
    </cfRule>
    <cfRule type="containsText" priority="24" operator="containsText" dxfId="1" stopIfTrue="1" text="5">
      <formula>NOT(ISERROR(SEARCH("5",K19)))</formula>
    </cfRule>
  </conditionalFormatting>
  <conditionalFormatting sqref="K21:L21">
    <cfRule type="containsText" priority="13" operator="containsText" dxfId="6" stopIfTrue="1" text="0">
      <formula>NOT(ISERROR(SEARCH("0",K21)))</formula>
    </cfRule>
    <cfRule type="containsText" priority="14" operator="containsText" dxfId="5" stopIfTrue="1" text="1">
      <formula>NOT(ISERROR(SEARCH("1",K21)))</formula>
    </cfRule>
    <cfRule type="containsText" priority="15" operator="containsText" dxfId="4" stopIfTrue="1" text="2">
      <formula>NOT(ISERROR(SEARCH("2",K21)))</formula>
    </cfRule>
    <cfRule type="containsText" priority="16" operator="containsText" dxfId="3" stopIfTrue="1" text="3">
      <formula>NOT(ISERROR(SEARCH("3",K21)))</formula>
    </cfRule>
    <cfRule type="containsText" priority="17" operator="containsText" dxfId="2" stopIfTrue="1" text="4">
      <formula>NOT(ISERROR(SEARCH("4",K21)))</formula>
    </cfRule>
    <cfRule type="containsText" priority="18" operator="containsText" dxfId="1" stopIfTrue="1" text="5">
      <formula>NOT(ISERROR(SEARCH("5",K21)))</formula>
    </cfRule>
  </conditionalFormatting>
  <conditionalFormatting sqref="K23:L23">
    <cfRule type="containsText" priority="7" operator="containsText" dxfId="6" stopIfTrue="1" text="0">
      <formula>NOT(ISERROR(SEARCH("0",K23)))</formula>
    </cfRule>
    <cfRule type="containsText" priority="8" operator="containsText" dxfId="5" stopIfTrue="1" text="1">
      <formula>NOT(ISERROR(SEARCH("1",K23)))</formula>
    </cfRule>
    <cfRule type="containsText" priority="9" operator="containsText" dxfId="4" stopIfTrue="1" text="2">
      <formula>NOT(ISERROR(SEARCH("2",K23)))</formula>
    </cfRule>
    <cfRule type="containsText" priority="10" operator="containsText" dxfId="3" stopIfTrue="1" text="3">
      <formula>NOT(ISERROR(SEARCH("3",K23)))</formula>
    </cfRule>
    <cfRule type="containsText" priority="11" operator="containsText" dxfId="2" stopIfTrue="1" text="4">
      <formula>NOT(ISERROR(SEARCH("4",K23)))</formula>
    </cfRule>
    <cfRule type="containsText" priority="12" operator="containsText" dxfId="1" stopIfTrue="1" text="5">
      <formula>NOT(ISERROR(SEARCH("5",K23)))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0.xml><?xml version="1.0" encoding="utf-8"?>
<worksheet xmlns:r="http://schemas.openxmlformats.org/officeDocument/2006/relationships" xmlns="http://schemas.openxmlformats.org/spreadsheetml/2006/main">
  <sheetPr codeName="Sheet13">
    <outlinePr summaryBelow="1" summaryRight="1"/>
    <pageSetUpPr fitToPage="1"/>
  </sheetPr>
  <dimension ref="A1:Y39"/>
  <sheetViews>
    <sheetView topLeftCell="A16" zoomScaleNormal="100" workbookViewId="0">
      <selection activeCell="S24" sqref="Q9:S24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#6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21.75" customHeight="1" s="220">
      <c r="A9" s="129" t="n"/>
      <c r="B9" s="284" t="n"/>
      <c r="C9" s="534" t="n"/>
      <c r="D9" s="535" t="n"/>
      <c r="E9" s="38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 t="n"/>
      <c r="V9" s="153" t="n"/>
      <c r="W9" s="147" t="n"/>
    </row>
    <row r="10" ht="22.5" customHeight="1" s="220">
      <c r="A10" s="129" t="n"/>
      <c r="B10" s="284" t="n"/>
      <c r="C10" s="534" t="n"/>
      <c r="D10" s="535" t="n"/>
      <c r="E10" s="38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 t="n"/>
      <c r="S10" s="285" t="n"/>
      <c r="T10" s="152" t="n"/>
      <c r="U10" s="284" t="n"/>
      <c r="V10" s="153" t="n"/>
      <c r="W10" s="147" t="n"/>
    </row>
    <row r="11" ht="12.75" customHeight="1" s="220">
      <c r="A11" s="129" t="n"/>
      <c r="B11" s="284" t="n"/>
      <c r="C11" s="534" t="n"/>
      <c r="D11" s="535" t="n"/>
      <c r="E11" s="38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 t="n"/>
      <c r="S11" s="285" t="n"/>
      <c r="T11" s="152" t="n"/>
      <c r="U11" s="284" t="n"/>
      <c r="V11" s="153" t="n"/>
      <c r="W11" s="147" t="n"/>
    </row>
    <row r="12" ht="30" customHeight="1" s="220">
      <c r="A12" s="129" t="n"/>
      <c r="B12" s="284" t="n"/>
      <c r="C12" s="534" t="n"/>
      <c r="D12" s="535" t="n"/>
      <c r="E12" s="381" t="n"/>
      <c r="F12" s="536" t="n"/>
      <c r="G12" s="536" t="n"/>
      <c r="H12" s="536" t="n"/>
      <c r="I12" s="536" t="n"/>
      <c r="J12" s="537" t="n"/>
      <c r="K12" s="414" t="n"/>
      <c r="L12" s="536" t="n"/>
      <c r="N12" s="133" t="n"/>
      <c r="Q12" s="284" t="n"/>
      <c r="R12" s="284" t="n"/>
      <c r="S12" s="285" t="n"/>
      <c r="T12" s="152" t="n"/>
      <c r="U12" s="284" t="n"/>
      <c r="V12" s="153" t="n"/>
      <c r="W12" s="147" t="n"/>
    </row>
    <row r="13" ht="26.25" customHeight="1" s="220">
      <c r="A13" s="129" t="n"/>
      <c r="B13" s="284" t="n"/>
      <c r="C13" s="534" t="n"/>
      <c r="D13" s="535" t="n"/>
      <c r="E13" s="38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 t="n"/>
      <c r="S13" s="285" t="n"/>
      <c r="T13" s="152" t="n"/>
      <c r="U13" s="284" t="n"/>
      <c r="V13" s="153" t="n"/>
      <c r="W13" s="147" t="n"/>
    </row>
    <row r="14" ht="12.75" customHeight="1" s="220">
      <c r="A14" s="129" t="n"/>
      <c r="B14" s="284" t="n"/>
      <c r="C14" s="534" t="n"/>
      <c r="D14" s="535" t="n"/>
      <c r="E14" s="38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 t="n"/>
      <c r="V14" s="153" t="n"/>
      <c r="W14" s="147" t="n"/>
    </row>
    <row r="15">
      <c r="A15" s="129" t="n"/>
      <c r="B15" s="284" t="n"/>
      <c r="C15" s="534" t="n"/>
      <c r="D15" s="535" t="n"/>
      <c r="E15" s="38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 t="n"/>
      <c r="S15" s="285" t="n"/>
      <c r="T15" s="152" t="n"/>
      <c r="U15" s="284" t="n"/>
      <c r="V15" s="153" t="n"/>
      <c r="W15" s="148" t="n"/>
    </row>
    <row r="16">
      <c r="A16" s="129" t="n"/>
      <c r="B16" s="284" t="n"/>
      <c r="C16" s="534" t="n"/>
      <c r="D16" s="535" t="n"/>
      <c r="E16" s="38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 t="n"/>
      <c r="V16" s="153" t="n"/>
      <c r="W16" s="147" t="n"/>
    </row>
    <row r="17">
      <c r="A17" s="129" t="n"/>
      <c r="B17" s="284" t="n"/>
      <c r="C17" s="534" t="n"/>
      <c r="D17" s="535" t="n"/>
      <c r="E17" s="38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 t="n"/>
      <c r="V17" s="153" t="n"/>
      <c r="W17" s="147" t="n"/>
    </row>
    <row r="18" ht="12.75" customHeight="1" s="220">
      <c r="A18" s="129" t="n"/>
      <c r="B18" s="284" t="n"/>
      <c r="C18" s="534" t="n"/>
      <c r="D18" s="535" t="n"/>
      <c r="E18" s="38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 t="n"/>
      <c r="V18" s="153" t="n"/>
      <c r="W18" s="147" t="n"/>
    </row>
    <row r="19">
      <c r="A19" s="129" t="n"/>
      <c r="B19" s="284" t="n"/>
      <c r="C19" s="534" t="n"/>
      <c r="D19" s="535" t="n"/>
      <c r="E19" s="38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 t="n"/>
      <c r="V19" s="153" t="n"/>
      <c r="W19" s="147" t="n"/>
    </row>
    <row r="20">
      <c r="A20" s="129" t="n"/>
      <c r="B20" s="284" t="n"/>
      <c r="C20" s="534" t="n"/>
      <c r="D20" s="535" t="n"/>
      <c r="E20" s="38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 t="n"/>
      <c r="V20" s="153" t="n"/>
      <c r="W20" s="147" t="n"/>
    </row>
    <row r="21">
      <c r="A21" s="129" t="n"/>
      <c r="B21" s="284" t="n"/>
      <c r="C21" s="534" t="n"/>
      <c r="D21" s="535" t="n"/>
      <c r="E21" s="38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285" t="n"/>
      <c r="T21" s="152" t="n"/>
      <c r="U21" s="284" t="n"/>
      <c r="V21" s="153" t="n"/>
      <c r="W21" s="147" t="n"/>
    </row>
    <row r="22">
      <c r="A22" s="129" t="n"/>
      <c r="B22" s="284" t="n"/>
      <c r="C22" s="534" t="n"/>
      <c r="D22" s="535" t="n"/>
      <c r="E22" s="38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285" t="n"/>
      <c r="T22" s="152" t="n"/>
      <c r="U22" s="284" t="n"/>
      <c r="V22" s="153" t="n"/>
      <c r="W22" s="147" t="n"/>
    </row>
    <row r="23">
      <c r="A23" s="129" t="n"/>
      <c r="B23" s="284" t="n"/>
      <c r="C23" s="534" t="n"/>
      <c r="D23" s="535" t="n"/>
      <c r="E23" s="38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285" t="n"/>
      <c r="T23" s="152" t="n"/>
      <c r="U23" s="284" t="n"/>
      <c r="V23" s="153" t="n"/>
      <c r="W23" s="147" t="n"/>
    </row>
    <row r="24">
      <c r="A24" s="389" t="inlineStr">
        <is>
          <t>Reservoir Quality / Representative Sample</t>
        </is>
      </c>
      <c r="B24" s="526" t="n"/>
      <c r="C24" s="526" t="n"/>
      <c r="D24" s="526" t="n"/>
      <c r="E24" s="526" t="n"/>
      <c r="F24" s="526" t="n"/>
      <c r="G24" s="526" t="n"/>
      <c r="H24" s="526" t="n"/>
      <c r="I24" s="526" t="n"/>
      <c r="J24" s="526" t="n"/>
      <c r="K24" s="526" t="n"/>
      <c r="L24" s="526" t="n"/>
      <c r="Q24" s="284" t="n"/>
      <c r="R24" s="284" t="n"/>
      <c r="S24" s="285" t="n"/>
    </row>
    <row r="25">
      <c r="A25" s="110" t="n">
        <v>5</v>
      </c>
      <c r="B25" s="412" t="n"/>
      <c r="C25" s="536" t="n"/>
      <c r="D25" s="536" t="n"/>
      <c r="E25" s="536" t="n"/>
      <c r="F25" s="536" t="n"/>
      <c r="G25" s="536" t="n"/>
      <c r="H25" s="536" t="n"/>
      <c r="I25" s="536" t="n"/>
      <c r="J25" s="536" t="n"/>
      <c r="K25" s="536" t="n"/>
      <c r="L25" s="537" t="n"/>
    </row>
    <row r="26">
      <c r="A26" s="110" t="n">
        <v>4</v>
      </c>
      <c r="B26" s="412" t="n"/>
      <c r="C26" s="536" t="n"/>
      <c r="D26" s="536" t="n"/>
      <c r="E26" s="536" t="n"/>
      <c r="F26" s="536" t="n"/>
      <c r="G26" s="536" t="n"/>
      <c r="H26" s="536" t="n"/>
      <c r="I26" s="536" t="n"/>
      <c r="J26" s="536" t="n"/>
      <c r="K26" s="536" t="n"/>
      <c r="L26" s="537" t="n"/>
    </row>
    <row r="27" ht="12.75" customHeight="1" s="220">
      <c r="A27" s="110" t="n">
        <v>3</v>
      </c>
      <c r="B27" s="412" t="n"/>
      <c r="C27" s="536" t="n"/>
      <c r="D27" s="536" t="n"/>
      <c r="E27" s="536" t="n"/>
      <c r="F27" s="536" t="n"/>
      <c r="G27" s="536" t="n"/>
      <c r="H27" s="536" t="n"/>
      <c r="I27" s="536" t="n"/>
      <c r="J27" s="536" t="n"/>
      <c r="K27" s="536" t="n"/>
      <c r="L27" s="537" t="n"/>
    </row>
    <row r="28" ht="12.75" customHeight="1" s="220">
      <c r="A28" s="110" t="n">
        <v>2</v>
      </c>
      <c r="B28" s="412" t="n"/>
      <c r="C28" s="536" t="n"/>
      <c r="D28" s="536" t="n"/>
      <c r="E28" s="536" t="n"/>
      <c r="F28" s="536" t="n"/>
      <c r="G28" s="536" t="n"/>
      <c r="H28" s="536" t="n"/>
      <c r="I28" s="536" t="n"/>
      <c r="J28" s="536" t="n"/>
      <c r="K28" s="536" t="n"/>
      <c r="L28" s="537" t="n"/>
    </row>
    <row r="29" ht="12.75" customHeight="1" s="220">
      <c r="A29" s="110" t="n">
        <v>1</v>
      </c>
      <c r="B29" s="412" t="n"/>
      <c r="C29" s="536" t="n"/>
      <c r="D29" s="536" t="n"/>
      <c r="E29" s="536" t="n"/>
      <c r="F29" s="536" t="n"/>
      <c r="G29" s="536" t="n"/>
      <c r="H29" s="536" t="n"/>
      <c r="I29" s="536" t="n"/>
      <c r="J29" s="536" t="n"/>
      <c r="K29" s="536" t="n"/>
      <c r="L29" s="537" t="n"/>
    </row>
    <row r="30" ht="12.75" customHeight="1" s="220">
      <c r="A30" s="110" t="n">
        <v>0</v>
      </c>
      <c r="B30" s="412" t="n"/>
      <c r="C30" s="536" t="n"/>
      <c r="D30" s="536" t="n"/>
      <c r="E30" s="536" t="n"/>
      <c r="F30" s="536" t="n"/>
      <c r="G30" s="536" t="n"/>
      <c r="H30" s="536" t="n"/>
      <c r="I30" s="536" t="n"/>
      <c r="J30" s="536" t="n"/>
      <c r="K30" s="536" t="n"/>
      <c r="L30" s="537" t="n"/>
    </row>
    <row r="31" ht="12.75" customHeight="1" s="220">
      <c r="A31" s="410" t="n"/>
      <c r="B31" s="526" t="n"/>
      <c r="C31" s="526" t="n"/>
      <c r="D31" s="526" t="n"/>
      <c r="E31" s="526" t="n"/>
      <c r="F31" s="526" t="n"/>
      <c r="G31" s="526" t="n"/>
      <c r="H31" s="526" t="n"/>
      <c r="I31" s="526" t="n"/>
      <c r="J31" s="526" t="n"/>
      <c r="K31" s="526" t="n"/>
      <c r="L31" s="526" t="n"/>
    </row>
    <row r="32" ht="12.75" customHeight="1" s="220">
      <c r="A32" s="407" t="inlineStr">
        <is>
          <t>Geologist Notes / Updates</t>
        </is>
      </c>
      <c r="B32" s="528" t="n"/>
      <c r="C32" s="528" t="n"/>
      <c r="D32" s="528" t="n"/>
      <c r="E32" s="528" t="n"/>
      <c r="F32" s="528" t="n"/>
      <c r="G32" s="528" t="n"/>
      <c r="H32" s="528" t="n"/>
      <c r="I32" s="528" t="n"/>
      <c r="J32" s="528" t="n"/>
      <c r="K32" s="528" t="n"/>
      <c r="L32" s="528" t="n"/>
    </row>
    <row r="33" ht="12.75" customHeight="1" s="220">
      <c r="A33" s="408" t="n"/>
      <c r="B33" s="225" t="n"/>
      <c r="C33" s="225" t="n"/>
      <c r="D33" s="225" t="n"/>
      <c r="E33" s="225" t="n"/>
      <c r="F33" s="225" t="n"/>
      <c r="G33" s="225" t="n"/>
      <c r="H33" s="225" t="n"/>
      <c r="I33" s="225" t="n"/>
      <c r="J33" s="225" t="n"/>
      <c r="K33" s="225" t="n"/>
      <c r="L33" s="225" t="n"/>
    </row>
    <row r="34">
      <c r="A34" s="409" t="n"/>
      <c r="B34" s="538" t="n"/>
      <c r="C34" s="538" t="n"/>
      <c r="D34" s="538" t="n"/>
      <c r="E34" s="538" t="n"/>
      <c r="F34" s="538" t="n"/>
      <c r="G34" s="538" t="n"/>
      <c r="H34" s="538" t="n"/>
      <c r="I34" s="538" t="n"/>
      <c r="J34" s="538" t="n"/>
      <c r="K34" s="538" t="n"/>
      <c r="L34" s="539" t="n"/>
    </row>
    <row r="35">
      <c r="A35" s="405" t="n"/>
      <c r="B35" s="536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405" t="n"/>
      <c r="B36" s="536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05" t="n"/>
      <c r="B37" s="536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405" t="n"/>
      <c r="B38" s="536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 ht="12.75" customHeight="1" s="220">
      <c r="A39" s="406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 ht="12.75" customHeight="1" s="220"/>
    <row r="41" ht="12.75" customHeight="1" s="220"/>
    <row r="42" ht="12.75" customHeight="1" s="220"/>
    <row r="43" ht="12.75" customHeight="1" s="220"/>
  </sheetData>
  <mergeCells count="61">
    <mergeCell ref="B27:L27"/>
    <mergeCell ref="A24:L24"/>
    <mergeCell ref="B25:L25"/>
    <mergeCell ref="B26:L26"/>
    <mergeCell ref="A39:L39"/>
    <mergeCell ref="B28:L28"/>
    <mergeCell ref="B29:L29"/>
    <mergeCell ref="B30:L30"/>
    <mergeCell ref="A31:L31"/>
    <mergeCell ref="A32:L32"/>
    <mergeCell ref="A33:L33"/>
    <mergeCell ref="A34:L34"/>
    <mergeCell ref="A35:L35"/>
    <mergeCell ref="A36:L36"/>
    <mergeCell ref="A37:L37"/>
    <mergeCell ref="A38:L38"/>
    <mergeCell ref="E21:J21"/>
    <mergeCell ref="K21:L21"/>
    <mergeCell ref="E22:J22"/>
    <mergeCell ref="K22:L22"/>
    <mergeCell ref="E23:J23"/>
    <mergeCell ref="K23:L23"/>
    <mergeCell ref="E18:J18"/>
    <mergeCell ref="K18:L18"/>
    <mergeCell ref="E19:J19"/>
    <mergeCell ref="K19:L19"/>
    <mergeCell ref="E20:J20"/>
    <mergeCell ref="K20:L20"/>
    <mergeCell ref="E15:J15"/>
    <mergeCell ref="K15:L15"/>
    <mergeCell ref="E16:J16"/>
    <mergeCell ref="K16:L16"/>
    <mergeCell ref="E17:J17"/>
    <mergeCell ref="K17:L17"/>
    <mergeCell ref="E12:J12"/>
    <mergeCell ref="K12:L12"/>
    <mergeCell ref="E13:J13"/>
    <mergeCell ref="K13:L13"/>
    <mergeCell ref="E14:J14"/>
    <mergeCell ref="K14:L14"/>
    <mergeCell ref="Q6:V6"/>
    <mergeCell ref="A7:B7"/>
    <mergeCell ref="C7:D7"/>
    <mergeCell ref="E7:J7"/>
    <mergeCell ref="K7:L7"/>
    <mergeCell ref="Q7:S7"/>
    <mergeCell ref="T7:V7"/>
    <mergeCell ref="A6:L6"/>
    <mergeCell ref="E11:J11"/>
    <mergeCell ref="K11:L11"/>
    <mergeCell ref="K10:L10"/>
    <mergeCell ref="E10:J10"/>
    <mergeCell ref="A1:L1"/>
    <mergeCell ref="A2:L2"/>
    <mergeCell ref="A3:L3"/>
    <mergeCell ref="A4:L4"/>
    <mergeCell ref="A5:L5"/>
    <mergeCell ref="E8:J8"/>
    <mergeCell ref="K8:L8"/>
    <mergeCell ref="E9:J9"/>
    <mergeCell ref="K9:L9"/>
  </mergeCells>
  <conditionalFormatting sqref="A25:A30">
    <cfRule type="containsText" priority="619" operator="containsText" dxfId="6" stopIfTrue="1" text="0">
      <formula>NOT(ISERROR(SEARCH("0",A25)))</formula>
    </cfRule>
    <cfRule type="containsText" priority="620" operator="containsText" dxfId="5" stopIfTrue="1" text="1">
      <formula>NOT(ISERROR(SEARCH("1",A25)))</formula>
    </cfRule>
    <cfRule type="containsText" priority="621" operator="containsText" dxfId="4" stopIfTrue="1" text="2">
      <formula>NOT(ISERROR(SEARCH("2",A25)))</formula>
    </cfRule>
    <cfRule type="containsText" priority="622" operator="containsText" dxfId="3" stopIfTrue="1" text="3">
      <formula>NOT(ISERROR(SEARCH("3",A25)))</formula>
    </cfRule>
    <cfRule type="containsText" priority="623" operator="containsText" dxfId="2" stopIfTrue="1" text="4">
      <formula>NOT(ISERROR(SEARCH("4",A25)))</formula>
    </cfRule>
    <cfRule type="containsText" priority="624" operator="containsText" dxfId="1" stopIfTrue="1" text="5">
      <formula>NOT(ISERROR(SEARCH("5",A25)))</formula>
    </cfRule>
  </conditionalFormatting>
  <conditionalFormatting sqref="K23:L23">
    <cfRule type="containsText" priority="247" operator="containsText" dxfId="6" stopIfTrue="1" text="0">
      <formula>NOT(ISERROR(SEARCH("0",K23)))</formula>
    </cfRule>
    <cfRule type="containsText" priority="248" operator="containsText" dxfId="5" stopIfTrue="1" text="1">
      <formula>NOT(ISERROR(SEARCH("1",K23)))</formula>
    </cfRule>
    <cfRule type="containsText" priority="249" operator="containsText" dxfId="4" stopIfTrue="1" text="2">
      <formula>NOT(ISERROR(SEARCH("2",K23)))</formula>
    </cfRule>
    <cfRule type="containsText" priority="250" operator="containsText" dxfId="3" stopIfTrue="1" text="3">
      <formula>NOT(ISERROR(SEARCH("3",K23)))</formula>
    </cfRule>
    <cfRule type="containsText" priority="251" operator="containsText" dxfId="2" stopIfTrue="1" text="4">
      <formula>NOT(ISERROR(SEARCH("4",K23)))</formula>
    </cfRule>
    <cfRule type="containsText" priority="252" operator="containsText" dxfId="1" stopIfTrue="1" text="5">
      <formula>NOT(ISERROR(SEARCH("5",K23)))</formula>
    </cfRule>
  </conditionalFormatting>
  <conditionalFormatting sqref="K22:L22">
    <cfRule type="containsText" priority="205" operator="containsText" dxfId="6" stopIfTrue="1" text="0">
      <formula>NOT(ISERROR(SEARCH("0",K22)))</formula>
    </cfRule>
    <cfRule type="containsText" priority="206" operator="containsText" dxfId="5" stopIfTrue="1" text="1">
      <formula>NOT(ISERROR(SEARCH("1",K22)))</formula>
    </cfRule>
    <cfRule type="containsText" priority="207" operator="containsText" dxfId="4" stopIfTrue="1" text="2">
      <formula>NOT(ISERROR(SEARCH("2",K22)))</formula>
    </cfRule>
    <cfRule type="containsText" priority="208" operator="containsText" dxfId="3" stopIfTrue="1" text="3">
      <formula>NOT(ISERROR(SEARCH("3",K22)))</formula>
    </cfRule>
    <cfRule type="containsText" priority="209" operator="containsText" dxfId="2" stopIfTrue="1" text="4">
      <formula>NOT(ISERROR(SEARCH("4",K22)))</formula>
    </cfRule>
    <cfRule type="containsText" priority="210" operator="containsText" dxfId="1" stopIfTrue="1" text="5">
      <formula>NOT(ISERROR(SEARCH("5",K22)))</formula>
    </cfRule>
  </conditionalFormatting>
  <conditionalFormatting sqref="K12:L12">
    <cfRule type="containsText" priority="103" operator="containsText" dxfId="6" stopIfTrue="1" text="0">
      <formula>NOT(ISERROR(SEARCH("0",K12)))</formula>
    </cfRule>
    <cfRule type="containsText" priority="104" operator="containsText" dxfId="5" stopIfTrue="1" text="1">
      <formula>NOT(ISERROR(SEARCH("1",K12)))</formula>
    </cfRule>
    <cfRule type="containsText" priority="105" operator="containsText" dxfId="4" stopIfTrue="1" text="2">
      <formula>NOT(ISERROR(SEARCH("2",K12)))</formula>
    </cfRule>
    <cfRule type="containsText" priority="106" operator="containsText" dxfId="3" stopIfTrue="1" text="3">
      <formula>NOT(ISERROR(SEARCH("3",K12)))</formula>
    </cfRule>
    <cfRule type="containsText" priority="107" operator="containsText" dxfId="2" stopIfTrue="1" text="4">
      <formula>NOT(ISERROR(SEARCH("4",K12)))</formula>
    </cfRule>
    <cfRule type="containsText" priority="108" operator="containsText" dxfId="1" stopIfTrue="1" text="5">
      <formula>NOT(ISERROR(SEARCH("5",K12)))</formula>
    </cfRule>
  </conditionalFormatting>
  <conditionalFormatting sqref="K9:L9">
    <cfRule type="containsText" priority="121" operator="containsText" dxfId="6" stopIfTrue="1" text="0">
      <formula>NOT(ISERROR(SEARCH("0",K9)))</formula>
    </cfRule>
    <cfRule type="containsText" priority="122" operator="containsText" dxfId="5" stopIfTrue="1" text="1">
      <formula>NOT(ISERROR(SEARCH("1",K9)))</formula>
    </cfRule>
    <cfRule type="containsText" priority="123" operator="containsText" dxfId="4" stopIfTrue="1" text="2">
      <formula>NOT(ISERROR(SEARCH("2",K9)))</formula>
    </cfRule>
    <cfRule type="containsText" priority="124" operator="containsText" dxfId="3" stopIfTrue="1" text="3">
      <formula>NOT(ISERROR(SEARCH("3",K9)))</formula>
    </cfRule>
    <cfRule type="containsText" priority="125" operator="containsText" dxfId="2" stopIfTrue="1" text="4">
      <formula>NOT(ISERROR(SEARCH("4",K9)))</formula>
    </cfRule>
    <cfRule type="containsText" priority="126" operator="containsText" dxfId="1" stopIfTrue="1" text="5">
      <formula>NOT(ISERROR(SEARCH("5",K9)))</formula>
    </cfRule>
  </conditionalFormatting>
  <conditionalFormatting sqref="K10:L10">
    <cfRule type="containsText" priority="115" operator="containsText" dxfId="6" stopIfTrue="1" text="0">
      <formula>NOT(ISERROR(SEARCH("0",K10)))</formula>
    </cfRule>
    <cfRule type="containsText" priority="116" operator="containsText" dxfId="5" stopIfTrue="1" text="1">
      <formula>NOT(ISERROR(SEARCH("1",K10)))</formula>
    </cfRule>
    <cfRule type="containsText" priority="117" operator="containsText" dxfId="4" stopIfTrue="1" text="2">
      <formula>NOT(ISERROR(SEARCH("2",K10)))</formula>
    </cfRule>
    <cfRule type="containsText" priority="118" operator="containsText" dxfId="3" stopIfTrue="1" text="3">
      <formula>NOT(ISERROR(SEARCH("3",K10)))</formula>
    </cfRule>
    <cfRule type="containsText" priority="119" operator="containsText" dxfId="2" stopIfTrue="1" text="4">
      <formula>NOT(ISERROR(SEARCH("4",K10)))</formula>
    </cfRule>
    <cfRule type="containsText" priority="120" operator="containsText" dxfId="1" stopIfTrue="1" text="5">
      <formula>NOT(ISERROR(SEARCH("5",K10)))</formula>
    </cfRule>
  </conditionalFormatting>
  <conditionalFormatting sqref="K13:L13">
    <cfRule type="containsText" priority="97" operator="containsText" dxfId="6" stopIfTrue="1" text="0">
      <formula>NOT(ISERROR(SEARCH("0",K13)))</formula>
    </cfRule>
    <cfRule type="containsText" priority="98" operator="containsText" dxfId="5" stopIfTrue="1" text="1">
      <formula>NOT(ISERROR(SEARCH("1",K13)))</formula>
    </cfRule>
    <cfRule type="containsText" priority="99" operator="containsText" dxfId="4" stopIfTrue="1" text="2">
      <formula>NOT(ISERROR(SEARCH("2",K13)))</formula>
    </cfRule>
    <cfRule type="containsText" priority="100" operator="containsText" dxfId="3" stopIfTrue="1" text="3">
      <formula>NOT(ISERROR(SEARCH("3",K13)))</formula>
    </cfRule>
    <cfRule type="containsText" priority="101" operator="containsText" dxfId="2" stopIfTrue="1" text="4">
      <formula>NOT(ISERROR(SEARCH("4",K13)))</formula>
    </cfRule>
    <cfRule type="containsText" priority="102" operator="containsText" dxfId="1" stopIfTrue="1" text="5">
      <formula>NOT(ISERROR(SEARCH("5",K13)))</formula>
    </cfRule>
  </conditionalFormatting>
  <conditionalFormatting sqref="K14:L14">
    <cfRule type="containsText" priority="91" operator="containsText" dxfId="6" stopIfTrue="1" text="0">
      <formula>NOT(ISERROR(SEARCH("0",K14)))</formula>
    </cfRule>
    <cfRule type="containsText" priority="92" operator="containsText" dxfId="5" stopIfTrue="1" text="1">
      <formula>NOT(ISERROR(SEARCH("1",K14)))</formula>
    </cfRule>
    <cfRule type="containsText" priority="93" operator="containsText" dxfId="4" stopIfTrue="1" text="2">
      <formula>NOT(ISERROR(SEARCH("2",K14)))</formula>
    </cfRule>
    <cfRule type="containsText" priority="94" operator="containsText" dxfId="3" stopIfTrue="1" text="3">
      <formula>NOT(ISERROR(SEARCH("3",K14)))</formula>
    </cfRule>
    <cfRule type="containsText" priority="95" operator="containsText" dxfId="2" stopIfTrue="1" text="4">
      <formula>NOT(ISERROR(SEARCH("4",K14)))</formula>
    </cfRule>
    <cfRule type="containsText" priority="96" operator="containsText" dxfId="1" stopIfTrue="1" text="5">
      <formula>NOT(ISERROR(SEARCH("5",K14)))</formula>
    </cfRule>
  </conditionalFormatting>
  <conditionalFormatting sqref="K16:L16">
    <cfRule type="containsText" priority="79" operator="containsText" dxfId="6" stopIfTrue="1" text="0">
      <formula>NOT(ISERROR(SEARCH("0",K16)))</formula>
    </cfRule>
    <cfRule type="containsText" priority="80" operator="containsText" dxfId="5" stopIfTrue="1" text="1">
      <formula>NOT(ISERROR(SEARCH("1",K16)))</formula>
    </cfRule>
    <cfRule type="containsText" priority="81" operator="containsText" dxfId="4" stopIfTrue="1" text="2">
      <formula>NOT(ISERROR(SEARCH("2",K16)))</formula>
    </cfRule>
    <cfRule type="containsText" priority="82" operator="containsText" dxfId="3" stopIfTrue="1" text="3">
      <formula>NOT(ISERROR(SEARCH("3",K16)))</formula>
    </cfRule>
    <cfRule type="containsText" priority="83" operator="containsText" dxfId="2" stopIfTrue="1" text="4">
      <formula>NOT(ISERROR(SEARCH("4",K16)))</formula>
    </cfRule>
    <cfRule type="containsText" priority="84" operator="containsText" dxfId="1" stopIfTrue="1" text="5">
      <formula>NOT(ISERROR(SEARCH("5",K16)))</formula>
    </cfRule>
  </conditionalFormatting>
  <conditionalFormatting sqref="K17:L17">
    <cfRule type="containsText" priority="73" operator="containsText" dxfId="6" stopIfTrue="1" text="0">
      <formula>NOT(ISERROR(SEARCH("0",K17)))</formula>
    </cfRule>
    <cfRule type="containsText" priority="74" operator="containsText" dxfId="5" stopIfTrue="1" text="1">
      <formula>NOT(ISERROR(SEARCH("1",K17)))</formula>
    </cfRule>
    <cfRule type="containsText" priority="75" operator="containsText" dxfId="4" stopIfTrue="1" text="2">
      <formula>NOT(ISERROR(SEARCH("2",K17)))</formula>
    </cfRule>
    <cfRule type="containsText" priority="76" operator="containsText" dxfId="3" stopIfTrue="1" text="3">
      <formula>NOT(ISERROR(SEARCH("3",K17)))</formula>
    </cfRule>
    <cfRule type="containsText" priority="77" operator="containsText" dxfId="2" stopIfTrue="1" text="4">
      <formula>NOT(ISERROR(SEARCH("4",K17)))</formula>
    </cfRule>
    <cfRule type="containsText" priority="78" operator="containsText" dxfId="1" stopIfTrue="1" text="5">
      <formula>NOT(ISERROR(SEARCH("5",K17)))</formula>
    </cfRule>
  </conditionalFormatting>
  <conditionalFormatting sqref="K18:L18">
    <cfRule type="containsText" priority="67" operator="containsText" dxfId="6" stopIfTrue="1" text="0">
      <formula>NOT(ISERROR(SEARCH("0",K18)))</formula>
    </cfRule>
    <cfRule type="containsText" priority="68" operator="containsText" dxfId="5" stopIfTrue="1" text="1">
      <formula>NOT(ISERROR(SEARCH("1",K18)))</formula>
    </cfRule>
    <cfRule type="containsText" priority="69" operator="containsText" dxfId="4" stopIfTrue="1" text="2">
      <formula>NOT(ISERROR(SEARCH("2",K18)))</formula>
    </cfRule>
    <cfRule type="containsText" priority="70" operator="containsText" dxfId="3" stopIfTrue="1" text="3">
      <formula>NOT(ISERROR(SEARCH("3",K18)))</formula>
    </cfRule>
    <cfRule type="containsText" priority="71" operator="containsText" dxfId="2" stopIfTrue="1" text="4">
      <formula>NOT(ISERROR(SEARCH("4",K18)))</formula>
    </cfRule>
    <cfRule type="containsText" priority="72" operator="containsText" dxfId="1" stopIfTrue="1" text="5">
      <formula>NOT(ISERROR(SEARCH("5",K18)))</formula>
    </cfRule>
  </conditionalFormatting>
  <conditionalFormatting sqref="K19:L19">
    <cfRule type="containsText" priority="61" operator="containsText" dxfId="6" stopIfTrue="1" text="0">
      <formula>NOT(ISERROR(SEARCH("0",K19)))</formula>
    </cfRule>
    <cfRule type="containsText" priority="62" operator="containsText" dxfId="5" stopIfTrue="1" text="1">
      <formula>NOT(ISERROR(SEARCH("1",K19)))</formula>
    </cfRule>
    <cfRule type="containsText" priority="63" operator="containsText" dxfId="4" stopIfTrue="1" text="2">
      <formula>NOT(ISERROR(SEARCH("2",K19)))</formula>
    </cfRule>
    <cfRule type="containsText" priority="64" operator="containsText" dxfId="3" stopIfTrue="1" text="3">
      <formula>NOT(ISERROR(SEARCH("3",K19)))</formula>
    </cfRule>
    <cfRule type="containsText" priority="65" operator="containsText" dxfId="2" stopIfTrue="1" text="4">
      <formula>NOT(ISERROR(SEARCH("4",K19)))</formula>
    </cfRule>
    <cfRule type="containsText" priority="66" operator="containsText" dxfId="1" stopIfTrue="1" text="5">
      <formula>NOT(ISERROR(SEARCH("5",K19)))</formula>
    </cfRule>
  </conditionalFormatting>
  <conditionalFormatting sqref="K20:L20">
    <cfRule type="containsText" priority="55" operator="containsText" dxfId="6" stopIfTrue="1" text="0">
      <formula>NOT(ISERROR(SEARCH("0",K20)))</formula>
    </cfRule>
    <cfRule type="containsText" priority="56" operator="containsText" dxfId="5" stopIfTrue="1" text="1">
      <formula>NOT(ISERROR(SEARCH("1",K20)))</formula>
    </cfRule>
    <cfRule type="containsText" priority="57" operator="containsText" dxfId="4" stopIfTrue="1" text="2">
      <formula>NOT(ISERROR(SEARCH("2",K20)))</formula>
    </cfRule>
    <cfRule type="containsText" priority="58" operator="containsText" dxfId="3" stopIfTrue="1" text="3">
      <formula>NOT(ISERROR(SEARCH("3",K20)))</formula>
    </cfRule>
    <cfRule type="containsText" priority="59" operator="containsText" dxfId="2" stopIfTrue="1" text="4">
      <formula>NOT(ISERROR(SEARCH("4",K20)))</formula>
    </cfRule>
    <cfRule type="containsText" priority="60" operator="containsText" dxfId="1" stopIfTrue="1" text="5">
      <formula>NOT(ISERROR(SEARCH("5",K20)))</formula>
    </cfRule>
  </conditionalFormatting>
  <conditionalFormatting sqref="K11:L11">
    <cfRule type="containsText" priority="43" operator="containsText" dxfId="6" stopIfTrue="1" text="0">
      <formula>NOT(ISERROR(SEARCH("0",K11)))</formula>
    </cfRule>
    <cfRule type="containsText" priority="44" operator="containsText" dxfId="5" stopIfTrue="1" text="1">
      <formula>NOT(ISERROR(SEARCH("1",K11)))</formula>
    </cfRule>
    <cfRule type="containsText" priority="45" operator="containsText" dxfId="4" stopIfTrue="1" text="2">
      <formula>NOT(ISERROR(SEARCH("2",K11)))</formula>
    </cfRule>
    <cfRule type="containsText" priority="46" operator="containsText" dxfId="3" stopIfTrue="1" text="3">
      <formula>NOT(ISERROR(SEARCH("3",K11)))</formula>
    </cfRule>
    <cfRule type="containsText" priority="47" operator="containsText" dxfId="2" stopIfTrue="1" text="4">
      <formula>NOT(ISERROR(SEARCH("4",K11)))</formula>
    </cfRule>
    <cfRule type="containsText" priority="48" operator="containsText" dxfId="1" stopIfTrue="1" text="5">
      <formula>NOT(ISERROR(SEARCH("5",K11)))</formula>
    </cfRule>
  </conditionalFormatting>
  <conditionalFormatting sqref="K21:L21">
    <cfRule type="containsText" priority="31" operator="containsText" dxfId="6" stopIfTrue="1" text="0">
      <formula>NOT(ISERROR(SEARCH("0",K21)))</formula>
    </cfRule>
    <cfRule type="containsText" priority="32" operator="containsText" dxfId="5" stopIfTrue="1" text="1">
      <formula>NOT(ISERROR(SEARCH("1",K21)))</formula>
    </cfRule>
    <cfRule type="containsText" priority="33" operator="containsText" dxfId="4" stopIfTrue="1" text="2">
      <formula>NOT(ISERROR(SEARCH("2",K21)))</formula>
    </cfRule>
    <cfRule type="containsText" priority="34" operator="containsText" dxfId="3" stopIfTrue="1" text="3">
      <formula>NOT(ISERROR(SEARCH("3",K21)))</formula>
    </cfRule>
    <cfRule type="containsText" priority="35" operator="containsText" dxfId="2" stopIfTrue="1" text="4">
      <formula>NOT(ISERROR(SEARCH("4",K21)))</formula>
    </cfRule>
    <cfRule type="containsText" priority="36" operator="containsText" dxfId="1" stopIfTrue="1" text="5">
      <formula>NOT(ISERROR(SEARCH("5",K21)))</formula>
    </cfRule>
  </conditionalFormatting>
  <conditionalFormatting sqref="K15:L15">
    <cfRule type="containsText" priority="37" operator="containsText" dxfId="6" stopIfTrue="1" text="0">
      <formula>NOT(ISERROR(SEARCH("0",K15)))</formula>
    </cfRule>
    <cfRule type="containsText" priority="38" operator="containsText" dxfId="5" stopIfTrue="1" text="1">
      <formula>NOT(ISERROR(SEARCH("1",K15)))</formula>
    </cfRule>
    <cfRule type="containsText" priority="39" operator="containsText" dxfId="4" stopIfTrue="1" text="2">
      <formula>NOT(ISERROR(SEARCH("2",K15)))</formula>
    </cfRule>
    <cfRule type="containsText" priority="40" operator="containsText" dxfId="3" stopIfTrue="1" text="3">
      <formula>NOT(ISERROR(SEARCH("3",K15)))</formula>
    </cfRule>
    <cfRule type="containsText" priority="41" operator="containsText" dxfId="2" stopIfTrue="1" text="4">
      <formula>NOT(ISERROR(SEARCH("4",K15)))</formula>
    </cfRule>
    <cfRule type="containsText" priority="42" operator="containsText" dxfId="1" stopIfTrue="1" text="5">
      <formula>NOT(ISERROR(SEARCH("5",K15)))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O23"/>
  <sheetViews>
    <sheetView showZeros="0" workbookViewId="0">
      <selection activeCell="D5" sqref="D5:H5"/>
    </sheetView>
  </sheetViews>
  <sheetFormatPr baseColWidth="8" defaultRowHeight="12.75"/>
  <cols>
    <col width="18.140625" customWidth="1" style="220" min="1" max="1"/>
    <col width="17.5703125" customWidth="1" style="220" min="2" max="8"/>
  </cols>
  <sheetData>
    <row r="1" ht="23.25" customHeight="1" s="220">
      <c r="A1" s="167" t="inlineStr">
        <is>
          <t>RESERVOIR QUALITY LOG</t>
        </is>
      </c>
    </row>
    <row r="3" ht="15" customHeight="1" s="220">
      <c r="A3" s="439" t="inlineStr">
        <is>
          <t>**Please do not add or remove any columns**</t>
        </is>
      </c>
    </row>
    <row r="5">
      <c r="A5" s="52" t="n"/>
      <c r="B5" s="43" t="inlineStr">
        <is>
          <t>Leg Length</t>
        </is>
      </c>
      <c r="C5" s="43">
        <f>DSUM(TARDB,'T&amp;L 1'!$B$9,Criteria!D$3:D$4)-DSUM(TARDB,'T&amp;L 1'!$A$9,Criteria!D$3:D$4)</f>
        <v/>
      </c>
      <c r="D5" s="43">
        <f>DSUM(TARDB,'T&amp;L 1'!$B$9,Criteria!E$3:E$4)-DSUM(TARDB,'T&amp;L 1'!$A$9,Criteria!E$3:E$4)</f>
        <v/>
      </c>
      <c r="E5" s="43">
        <f>DSUM(TARDB,'T&amp;L 1'!$B$9,Criteria!F$3:F$4)-DSUM(TARDB,'T&amp;L 1'!$A$9,Criteria!F$3:F$4)</f>
        <v/>
      </c>
      <c r="F5" s="43">
        <f>DSUM(TARDB,'T&amp;L 1'!$B$9,Criteria!G$3:G$4)-DSUM(TARDB,'T&amp;L 1'!$A$9,Criteria!G$3:G$4)</f>
        <v/>
      </c>
      <c r="G5" s="43">
        <f>DSUM(TARDB,'T&amp;L 1'!$B$9,Criteria!H$3:H$4)-DSUM(TARDB,'T&amp;L 1'!$A$9,Criteria!H$3:H$4)</f>
        <v/>
      </c>
      <c r="H5" s="44">
        <f>DSUM(TARDB,'T&amp;L 1'!$B$9,Criteria!I$3:I$4)-DSUM(TARDB,'T&amp;L 1'!$A$9,Criteria!I$3:I$4)</f>
        <v/>
      </c>
    </row>
    <row r="6">
      <c r="A6" s="53" t="inlineStr">
        <is>
          <t>Leg 1</t>
        </is>
      </c>
      <c r="B6" s="542">
        <f>SUM(C6:H6)</f>
        <v/>
      </c>
      <c r="C6" s="543">
        <f>DSUM(TARDB,'T&amp;L 1'!$B$9,Criteria!D$3:D$4)-DSUM(TARDB,'T&amp;L 1'!$A$9,Criteria!D$3:D$4)</f>
        <v/>
      </c>
      <c r="D6" s="543">
        <f>DSUM(TARDB,'T&amp;L 1'!$B$9,Criteria!E$3:E$4)-DSUM(TARDB,'T&amp;L 1'!$A$9,Criteria!E$3:E$4)</f>
        <v/>
      </c>
      <c r="E6" s="543">
        <f>DSUM(TARDB,'T&amp;L 1'!$B$9,Criteria!F$3:F$4)-DSUM(TARDB,'T&amp;L 1'!$A$9,Criteria!F$3:F$4)</f>
        <v/>
      </c>
      <c r="F6" s="543">
        <f>DSUM(TARDB,'T&amp;L 1'!$B$9,Criteria!G$3:G$4)-DSUM(TARDB,'T&amp;L 1'!$A$9,Criteria!G$3:G$4)</f>
        <v/>
      </c>
      <c r="G6" s="543">
        <f>DSUM(TARDB,'T&amp;L 1'!$B$9,Criteria!H$3:H$4)-DSUM(TARDB,'T&amp;L 1'!$A$9,Criteria!H$3:H$4)</f>
        <v/>
      </c>
      <c r="H6" s="543">
        <f>DSUM(TARDB,'T&amp;L 1'!$B$9,Criteria!I$3:I$4)-DSUM(TARDB,'T&amp;L 1'!$A$9,Criteria!I$3:I$4)</f>
        <v/>
      </c>
      <c r="J6" s="424" t="inlineStr">
        <is>
          <t>* The formulas on this sheet will populate as you add additional 'Target &amp; Lateral' sheets.  If you delete the sheets, you will need to click the 'Delete Errors' button above to clear the errors that will be let when the sheet no longer exists.</t>
        </is>
      </c>
    </row>
    <row r="7">
      <c r="A7" s="289" t="inlineStr">
        <is>
          <t>Leg 2</t>
        </is>
      </c>
      <c r="B7" s="542">
        <f>SUM(C7:H7)</f>
        <v/>
      </c>
      <c r="C7" s="542">
        <f>DSUM('T&amp;L 2'!TARDB2,'T&amp;L 2'!$B$6,Criteria!D$3:D$4)-DSUM('T&amp;L 2'!TARDB2,'T&amp;L 2'!$A$6,Criteria!D$3:D$4)</f>
        <v/>
      </c>
      <c r="D7" s="542">
        <f>DSUM('T&amp;L 2'!TARDB2,'T&amp;L 2'!$B$6,Criteria!E$3:E$4)-DSUM('T&amp;L 2'!TARDB2,'T&amp;L 2'!$A$6,Criteria!E$3:E$4)</f>
        <v/>
      </c>
      <c r="E7" s="542">
        <f>DSUM('T&amp;L 2'!TARDB2,'T&amp;L 2'!$B$6,Criteria!F$3:F$4)-DSUM('T&amp;L 2'!TARDB2,'T&amp;L 2'!$A$6,Criteria!F$3:F$4)</f>
        <v/>
      </c>
      <c r="F7" s="542">
        <f>DSUM('T&amp;L 2'!TARDB2,'T&amp;L 2'!$B$6,Criteria!G$3:G$4)-DSUM('T&amp;L 2'!TARDB2,'T&amp;L 2'!$A$6,Criteria!G$3:G$4)</f>
        <v/>
      </c>
      <c r="G7" s="542">
        <f>DSUM('T&amp;L 2'!TARDB2,'T&amp;L 2'!$B$6,Criteria!H$3:H$4)-DSUM('T&amp;L 2'!TARDB2,'T&amp;L 2'!$A$6,Criteria!H$3:H$4)</f>
        <v/>
      </c>
      <c r="H7" s="542">
        <f>DSUM('T&amp;L 2'!TARDB2,'T&amp;L 2'!$B$6,Criteria!I$3:I$4)-DSUM('T&amp;L 2'!TARDB2,'T&amp;L 2'!$A$6,Criteria!I$3:I$4)</f>
        <v/>
      </c>
    </row>
    <row r="8">
      <c r="A8" s="81" t="inlineStr">
        <is>
          <t>Leg 3</t>
        </is>
      </c>
      <c r="B8" s="542">
        <f>SUM(C8:H8)</f>
        <v/>
      </c>
      <c r="C8" s="542">
        <f>DSUM('T&amp;L 3'!TARDB3,'T&amp;L 3'!$B$8,Criteria!D$3:D$4)-DSUM('T&amp;L 3'!TARDB3,'T&amp;L 3'!$A$8,Criteria!D$3:D$4)</f>
        <v/>
      </c>
      <c r="D8" s="542">
        <f>DSUM('T&amp;L 3'!TARDB3,'T&amp;L 3'!$B$8,Criteria!E$3:E$4)-DSUM('T&amp;L 3'!TARDB3,'T&amp;L 3'!$A$8,Criteria!E$3:E$4)</f>
        <v/>
      </c>
      <c r="E8" s="542">
        <f>DSUM('T&amp;L 3'!TARDB3,'T&amp;L 3'!$B$8,Criteria!F$3:F$4)-DSUM('T&amp;L 3'!TARDB3,'T&amp;L 3'!$A$8,Criteria!F$3:F$4)</f>
        <v/>
      </c>
      <c r="F8" s="542">
        <f>DSUM('T&amp;L 3'!TARDB3,'T&amp;L 3'!$B$8,Criteria!G$3:G$4)-DSUM('T&amp;L 3'!TARDB3,'T&amp;L 3'!$A$8,Criteria!G$3:G$4)</f>
        <v/>
      </c>
      <c r="G8" s="542">
        <f>DSUM('T&amp;L 3'!TARDB3,'T&amp;L 3'!$B$8,Criteria!H$3:H$4)-DSUM('T&amp;L 3'!TARDB3,'T&amp;L 3'!$A$8,Criteria!H$3:H$4)</f>
        <v/>
      </c>
      <c r="H8" s="542">
        <f>DSUM('T&amp;L 3'!TARDB3,'T&amp;L 3'!$B$8,Criteria!I$3:I$4)-DSUM('T&amp;L 3'!TARDB3,'T&amp;L 3'!$A$8,Criteria!I$3:I$4)</f>
        <v/>
      </c>
    </row>
    <row r="9">
      <c r="A9" s="289" t="inlineStr">
        <is>
          <t>Leg 4</t>
        </is>
      </c>
      <c r="B9" s="542">
        <f>SUM(C9:H9)</f>
        <v/>
      </c>
      <c r="C9" s="542">
        <f>DSUM('T&amp;L 4'!TARDB4,'T&amp;L 4'!$B$8,Criteria!D$3:D$4)-DSUM('T&amp;L 4'!TARDB4,'T&amp;L 4'!$A$8,Criteria!D$3:D$4)</f>
        <v/>
      </c>
      <c r="D9" s="542">
        <f>DSUM('T&amp;L 4'!TARDB4,'T&amp;L 4'!$B$8,Criteria!E$3:E$4)-DSUM('T&amp;L 4'!TARDB4,'T&amp;L 4'!$A$8,Criteria!E$3:E$4)</f>
        <v/>
      </c>
      <c r="E9" s="542">
        <f>DSUM('T&amp;L 4'!TARDB4,'T&amp;L 4'!$B$8,Criteria!F$3:F$4)-DSUM('T&amp;L 4'!TARDB4,'T&amp;L 4'!$A$8,Criteria!F$3:F$4)</f>
        <v/>
      </c>
      <c r="F9" s="542">
        <f>DSUM('T&amp;L 4'!TARDB4,'T&amp;L 4'!$B$8,Criteria!G$3:G$4)-DSUM('T&amp;L 4'!TARDB4,'T&amp;L 4'!$A$8,Criteria!G$3:G$4)</f>
        <v/>
      </c>
      <c r="G9" s="542">
        <f>DSUM('T&amp;L 4'!TARDB4,'T&amp;L 4'!$B$8,Criteria!H$3:H$4)-DSUM('T&amp;L 4'!TARDB4,'T&amp;L 4'!$A$8,Criteria!H$3:H$4)</f>
        <v/>
      </c>
      <c r="H9" s="542">
        <f>DSUM('T&amp;L 4'!TARDB4,'T&amp;L 4'!$B$8,Criteria!I$3:I$4)-DSUM('T&amp;L 4'!TARDB4,'T&amp;L 4'!$A$8,Criteria!I$3:I$4)</f>
        <v/>
      </c>
    </row>
    <row r="10" ht="11.45" customHeight="1" s="220">
      <c r="A10" s="81" t="inlineStr">
        <is>
          <t>Leg 5</t>
        </is>
      </c>
      <c r="B10" s="542">
        <f>SUM(C10:H10)</f>
        <v/>
      </c>
      <c r="C10" s="542">
        <f>DSUM('T&amp;L 5'!TARDB5,'T&amp;L 5'!$B$8,Criteria!D$3:D$4)-DSUM('T&amp;L 5'!TARDB5,'T&amp;L 5'!$A$8,Criteria!D$3:D$4)</f>
        <v/>
      </c>
      <c r="D10" s="542">
        <f>DSUM('T&amp;L 5'!TARDB5,'T&amp;L 5'!$B$8,Criteria!E$3:E$4)-DSUM('T&amp;L 5'!TARDB5,'T&amp;L 5'!$A$8,Criteria!E$3:E$4)</f>
        <v/>
      </c>
      <c r="E10" s="542">
        <f>DSUM('T&amp;L 5'!TARDB5,'T&amp;L 5'!$B$8,Criteria!F$3:F$4)-DSUM('T&amp;L 5'!TARDB5,'T&amp;L 5'!$A$8,Criteria!F$3:F$4)</f>
        <v/>
      </c>
      <c r="F10" s="542">
        <f>DSUM('T&amp;L 5'!TARDB5,'T&amp;L 5'!$B$8,Criteria!G$3:G$4)-DSUM('T&amp;L 5'!TARDB5,'T&amp;L 5'!$A$8,Criteria!G$3:G$4)</f>
        <v/>
      </c>
      <c r="G10" s="542">
        <f>DSUM('T&amp;L 5'!TARDB5,'T&amp;L 5'!$B$8,Criteria!H$3:H$4)-DSUM('T&amp;L 5'!TARDB5,'T&amp;L 5'!$A$8,Criteria!H$3:H$4)</f>
        <v/>
      </c>
      <c r="H10" s="542">
        <f>DSUM('T&amp;L 5'!TARDB5,'T&amp;L 5'!$B$8,Criteria!I$3:I$4)-DSUM('T&amp;L 5'!TARDB5,'T&amp;L 5'!$A$8,Criteria!I$3:I$4)</f>
        <v/>
      </c>
    </row>
    <row r="11" s="220">
      <c r="A11" s="289" t="inlineStr">
        <is>
          <t>Leg 6</t>
        </is>
      </c>
      <c r="B11" s="542">
        <f>SUM(C11:H11)</f>
        <v/>
      </c>
      <c r="C11" s="542">
        <f>DSUM('T&amp;L 6'!TARDB6,'T&amp;L 6'!$B$8,Criteria!D$3:D$4)-DSUM('T&amp;L 6'!TARDB6,'T&amp;L 6'!$A$8,Criteria!D$3:D$4)</f>
        <v/>
      </c>
      <c r="D11" s="542">
        <f>DSUM('T&amp;L 6'!TARDB6,'T&amp;L 6'!$B$8,Criteria!E$3:E$4)-DSUM('T&amp;L 6'!TARDB6,'T&amp;L 6'!$A$8,Criteria!E$3:E$4)</f>
        <v/>
      </c>
      <c r="E11" s="542">
        <f>DSUM('T&amp;L 6'!TARDB6,'T&amp;L 6'!$B$8,Criteria!F$3:F$4)-DSUM('T&amp;L 6'!TARDB6,'T&amp;L 6'!$A$8,Criteria!F$3:F$4)</f>
        <v/>
      </c>
      <c r="F11" s="542">
        <f>DSUM('T&amp;L 6'!TARDB6,'T&amp;L 6'!$B$8,Criteria!G$3:G$4)-DSUM('T&amp;L 6'!TARDB6,'T&amp;L 6'!$A$8,Criteria!G$3:G$4)</f>
        <v/>
      </c>
      <c r="G11" s="542">
        <f>DSUM('T&amp;L 6'!TARDB6,'T&amp;L 6'!$B$8,Criteria!H$3:H$4)-DSUM('T&amp;L 6'!TARDB6,'T&amp;L 6'!$A$8,Criteria!H$3:H$4)</f>
        <v/>
      </c>
      <c r="H11" s="542">
        <f>DSUM('T&amp;L 6'!TARDB6,'T&amp;L 6'!$B$8,Criteria!I$3:I$4)-DSUM('T&amp;L 6'!TARDB6,'T&amp;L 6'!$A$8,Criteria!I$3:I$4)</f>
        <v/>
      </c>
    </row>
    <row r="12" hidden="1" s="220">
      <c r="A12" s="289" t="inlineStr">
        <is>
          <t>Leg 7</t>
        </is>
      </c>
      <c r="B12" s="542">
        <f>SUM(C12:H12)</f>
        <v/>
      </c>
      <c r="C12" s="542">
        <f>DSUM('T&amp;L 7'!TARDB7,'T&amp;L 7'!$B$8,Criteria!D$3:D$4)-DSUM('T&amp;L 7'!TARDB7,'T&amp;L 7'!$A$8,Criteria!D$3:D$4)</f>
        <v/>
      </c>
      <c r="D12" s="542">
        <f>DSUM('T&amp;L 7'!TARDB7,'T&amp;L 7'!$B$8,Criteria!E$3:E$4)-DSUM('T&amp;L 7'!TARDB7,'T&amp;L 7'!$A$8,Criteria!E$3:E$4)</f>
        <v/>
      </c>
      <c r="E12" s="542">
        <f>DSUM('T&amp;L 7'!TARDB7,'T&amp;L 7'!$B$8,Criteria!F$3:F$4)-DSUM('T&amp;L 7'!TARDB7,'T&amp;L 7'!$A$8,Criteria!F$3:F$4)</f>
        <v/>
      </c>
      <c r="F12" s="542">
        <f>DSUM('T&amp;L 7'!TARDB7,'T&amp;L 7'!$B$8,Criteria!G$3:G$4)-DSUM('T&amp;L 7'!TARDB7,'T&amp;L 7'!$A$8,Criteria!G$3:G$4)</f>
        <v/>
      </c>
      <c r="G12" s="542">
        <f>DSUM('T&amp;L 7'!TARDB7,'T&amp;L 7'!$B$8,Criteria!H$3:H$4)-DSUM('T&amp;L 7'!TARDB7,'T&amp;L 7'!$A$8,Criteria!H$3:H$4)</f>
        <v/>
      </c>
      <c r="H12" s="542">
        <f>DSUM('T&amp;L 7'!TARDB7,'T&amp;L 7'!$B$8,Criteria!I$3:I$4)-DSUM('T&amp;L 7'!TARDB7,'T&amp;L 7'!$A$8,Criteria!I$3:I$4)</f>
        <v/>
      </c>
    </row>
    <row r="13" hidden="1" s="220">
      <c r="A13" s="289" t="inlineStr">
        <is>
          <t>Leg 8</t>
        </is>
      </c>
      <c r="B13" s="542">
        <f>SUM(C13:H13)</f>
        <v/>
      </c>
      <c r="C13" s="542">
        <f>DSUM('T&amp;L 8'!TARDB8,'T&amp;L 8'!$B$8,Criteria!D$3:D$4)-DSUM('T&amp;L 8'!TARDB8,'T&amp;L 8'!$A$8,Criteria!D$3:D$4)</f>
        <v/>
      </c>
      <c r="D13" s="542">
        <f>DSUM('T&amp;L 8'!TARDB8,'T&amp;L 8'!$B$8,Criteria!E$3:E$4)-DSUM('T&amp;L 8'!TARDB8,'T&amp;L 8'!$A$8,Criteria!E$3:E$4)</f>
        <v/>
      </c>
      <c r="E13" s="542">
        <f>DSUM('T&amp;L 8'!TARDB8,'T&amp;L 8'!$B$8,Criteria!F$3:F$4)-DSUM('T&amp;L 8'!TARDB8,'T&amp;L 8'!$A$8,Criteria!F$3:F$4)</f>
        <v/>
      </c>
      <c r="F13" s="542">
        <f>DSUM('T&amp;L 8'!TARDB8,'T&amp;L 8'!$B$8,Criteria!G$3:G$4)-DSUM('T&amp;L 8'!TARDB8,'T&amp;L 8'!$A$8,Criteria!G$3:G$4)</f>
        <v/>
      </c>
      <c r="G13" s="542">
        <f>DSUM('T&amp;L 8'!TARDB8,'T&amp;L 8'!$B$8,Criteria!H$3:H$4)-DSUM('T&amp;L 8'!TARDB8,'T&amp;L 8'!$A$8,Criteria!H$3:H$4)</f>
        <v/>
      </c>
      <c r="H13" s="542">
        <f>DSUM('T&amp;L 8'!TARDB8,'T&amp;L 8'!$B$8,Criteria!I$3:I$4)-DSUM('T&amp;L 8'!TARDB8,'T&amp;L 8'!$A$8,Criteria!I$3:I$4)</f>
        <v/>
      </c>
    </row>
    <row r="14" hidden="1" s="220">
      <c r="A14" s="289" t="inlineStr">
        <is>
          <t>Leg 9</t>
        </is>
      </c>
      <c r="B14" s="542">
        <f>SUM(C14:H14)</f>
        <v/>
      </c>
      <c r="C14" s="542">
        <f>DSUM('T&amp;L 9'!TARDB9,'T&amp;L 9'!$B$8,Criteria!D$3:D$4)-DSUM('T&amp;L 9'!TARDB9,'T&amp;L 9'!$A$8,Criteria!D$3:D$4)</f>
        <v/>
      </c>
      <c r="D14" s="542">
        <f>DSUM('T&amp;L 9'!TARDB9,'T&amp;L 9'!$B$8,Criteria!E$3:E$4)-DSUM('T&amp;L 9'!TARDB9,'T&amp;L 9'!$A$8,Criteria!E$3:E$4)</f>
        <v/>
      </c>
      <c r="E14" s="542">
        <f>DSUM('T&amp;L 9'!TARDB9,'T&amp;L 9'!$B$8,Criteria!F$3:F$4)-DSUM('T&amp;L 9'!TARDB9,'T&amp;L 9'!$A$8,Criteria!F$3:F$4)</f>
        <v/>
      </c>
      <c r="F14" s="542">
        <f>DSUM('T&amp;L 9'!TARDB9,'T&amp;L 9'!$B$8,Criteria!G$3:G$4)-DSUM('T&amp;L 9'!TARDB9,'T&amp;L 9'!$A$8,Criteria!G$3:G$4)</f>
        <v/>
      </c>
      <c r="G14" s="542">
        <f>DSUM('T&amp;L 9'!TARDB9,'T&amp;L 9'!$B$8,Criteria!H$3:H$4)-DSUM('T&amp;L 9'!TARDB9,'T&amp;L 9'!$A$8,Criteria!H$3:H$4)</f>
        <v/>
      </c>
      <c r="H14" s="542">
        <f>DSUM('T&amp;L 9'!TARDB9,'T&amp;L 9'!$B$8,Criteria!I$3:I$4)-DSUM('T&amp;L 9'!TARDB9,'T&amp;L 9'!$A$8,Criteria!I$3:I$4)</f>
        <v/>
      </c>
    </row>
    <row r="15" hidden="1" s="220">
      <c r="A15" s="289" t="inlineStr">
        <is>
          <t>Leg 10</t>
        </is>
      </c>
      <c r="B15" s="542">
        <f>SUM(C15:H15)</f>
        <v/>
      </c>
      <c r="C15" s="542">
        <f>DSUM('T&amp;L 10'!TARDB10,'T&amp;L 10'!$B$8,Criteria!D$3:D$4)-DSUM('T&amp;L 10'!TARDB10,'T&amp;L 10'!$A$8,Criteria!D$3:D$4)</f>
        <v/>
      </c>
      <c r="D15" s="542">
        <f>DSUM('T&amp;L 10'!TARDB10,'T&amp;L 10'!$B$8,Criteria!E$3:E$4)-DSUM('T&amp;L 10'!TARDB10,'T&amp;L 10'!$A$8,Criteria!E$3:E$4)</f>
        <v/>
      </c>
      <c r="E15" s="542">
        <f>DSUM('T&amp;L 10'!TARDB10,'T&amp;L 10'!$B$8,Criteria!F$3:F$4)-DSUM('T&amp;L 10'!TARDB10,'T&amp;L 10'!$A$8,Criteria!F$3:F$4)</f>
        <v/>
      </c>
      <c r="F15" s="542">
        <f>DSUM('T&amp;L 10'!TARDB10,'T&amp;L 10'!$B$8,Criteria!G$3:G$4)-DSUM('T&amp;L 10'!TARDB10,'T&amp;L 10'!$A$8,Criteria!G$3:G$4)</f>
        <v/>
      </c>
      <c r="G15" s="542">
        <f>DSUM('T&amp;L 10'!TARDB10,'T&amp;L 10'!$B$8,Criteria!H$3:H$4)-DSUM('T&amp;L 10'!TARDB10,'T&amp;L 10'!$A$8,Criteria!H$3:H$4)</f>
        <v/>
      </c>
      <c r="H15" s="542">
        <f>DSUM('T&amp;L 10'!TARDB10,'T&amp;L 10'!$B$8,Criteria!I$3:I$4)-DSUM('T&amp;L 10'!TARDB10,'T&amp;L 10'!$A$8,Criteria!I$3:I$4)</f>
        <v/>
      </c>
    </row>
    <row r="16" hidden="1" s="220">
      <c r="A16" s="289" t="inlineStr">
        <is>
          <t>Leg 11</t>
        </is>
      </c>
      <c r="B16" s="542">
        <f>SUM(C16:H16)</f>
        <v/>
      </c>
      <c r="C16" s="542" t="n"/>
      <c r="D16" s="542" t="n"/>
      <c r="E16" s="542" t="n"/>
      <c r="F16" s="542" t="n"/>
      <c r="G16" s="542" t="n"/>
      <c r="H16" s="544" t="n"/>
    </row>
    <row r="17" hidden="1" s="220">
      <c r="A17" s="289" t="inlineStr">
        <is>
          <t>Leg 12</t>
        </is>
      </c>
      <c r="B17" s="542">
        <f>SUM(C17:H17)</f>
        <v/>
      </c>
      <c r="C17" s="542" t="n"/>
      <c r="D17" s="542" t="n"/>
      <c r="E17" s="542" t="n"/>
      <c r="F17" s="542" t="n"/>
      <c r="G17" s="542" t="n"/>
      <c r="H17" s="544" t="n"/>
    </row>
    <row r="18" hidden="1" s="220">
      <c r="A18" s="289" t="inlineStr">
        <is>
          <t>Leg 13</t>
        </is>
      </c>
      <c r="B18" s="542">
        <f>SUM(C18:H18)</f>
        <v/>
      </c>
      <c r="C18" s="542" t="n"/>
      <c r="D18" s="542" t="n"/>
      <c r="E18" s="542" t="n"/>
      <c r="F18" s="542" t="n"/>
      <c r="G18" s="542" t="n"/>
      <c r="H18" s="544" t="n"/>
    </row>
    <row r="19" hidden="1" s="220">
      <c r="A19" s="289" t="inlineStr">
        <is>
          <t>Leg 14</t>
        </is>
      </c>
      <c r="B19" s="542">
        <f>SUM(C19:H19)</f>
        <v/>
      </c>
      <c r="C19" s="542" t="n"/>
      <c r="D19" s="542" t="n"/>
      <c r="E19" s="542" t="n"/>
      <c r="F19" s="542" t="n"/>
      <c r="G19" s="542" t="n"/>
      <c r="H19" s="544" t="n"/>
    </row>
    <row r="20" hidden="1" s="220">
      <c r="A20" s="289" t="inlineStr">
        <is>
          <t>Leg 15</t>
        </is>
      </c>
      <c r="B20" s="545">
        <f>SUM(C20:H20)</f>
        <v/>
      </c>
      <c r="C20" s="542" t="n"/>
      <c r="D20" s="542" t="n"/>
      <c r="E20" s="542" t="n"/>
      <c r="F20" s="542" t="n"/>
      <c r="G20" s="542" t="n"/>
      <c r="H20" s="546" t="n"/>
    </row>
    <row r="21">
      <c r="A21" s="54" t="inlineStr">
        <is>
          <t>Total</t>
        </is>
      </c>
      <c r="B21" s="51" t="n"/>
      <c r="C21" s="51" t="n"/>
      <c r="D21" s="51" t="n"/>
      <c r="E21" s="51" t="n"/>
      <c r="F21" s="51" t="n"/>
      <c r="G21" s="51" t="n"/>
      <c r="H21" s="136" t="n"/>
    </row>
    <row r="22">
      <c r="A22" s="84" t="inlineStr">
        <is>
          <t>f (m)</t>
        </is>
      </c>
      <c r="B22" s="547">
        <f>SUM(B6:B20)</f>
        <v/>
      </c>
      <c r="C22" s="547">
        <f>SUM(C6:C20)</f>
        <v/>
      </c>
      <c r="D22" s="547">
        <f>SUM(D6:D20)</f>
        <v/>
      </c>
      <c r="E22" s="547">
        <f>SUM(E6:E20)</f>
        <v/>
      </c>
      <c r="F22" s="547">
        <f>SUM(F6:F20)</f>
        <v/>
      </c>
      <c r="G22" s="547">
        <f>SUM(G6:G20)</f>
        <v/>
      </c>
      <c r="H22" s="548">
        <f>SUM(H6:H20)</f>
        <v/>
      </c>
    </row>
    <row r="23">
      <c r="A23" s="85" t="inlineStr">
        <is>
          <t>%</t>
        </is>
      </c>
      <c r="B23" s="113" t="inlineStr">
        <is>
          <t>-</t>
        </is>
      </c>
      <c r="C23" s="114">
        <f>IF(C22=0,0,C22/$B22)</f>
        <v/>
      </c>
      <c r="D23" s="114">
        <f>IF(D22=0,0,D22/$B22)</f>
        <v/>
      </c>
      <c r="E23" s="114">
        <f>IF(E22=0,0,E22/$B22)</f>
        <v/>
      </c>
      <c r="F23" s="114">
        <f>IF(F22=0,0,F22/$B22)</f>
        <v/>
      </c>
      <c r="G23" s="114">
        <f>IF(G22=0,0,G22/$B22)</f>
        <v/>
      </c>
      <c r="H23" s="115">
        <f>IF(H22=0,0,H22/$B22)</f>
        <v/>
      </c>
    </row>
  </sheetData>
  <mergeCells count="2">
    <mergeCell ref="A3:H3"/>
    <mergeCell ref="J6:O10"/>
  </mergeCells>
  <pageMargins left="0.7" right="0.7" top="0.75" bottom="0.75" header="0.3" footer="0.3"/>
  <pageSetup orientation="portrait"/>
  <legacyDrawing r:id="anysvml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Q38"/>
  <sheetViews>
    <sheetView showZeros="0" zoomScaleNormal="100" workbookViewId="0">
      <selection activeCell="C10" sqref="C10"/>
    </sheetView>
  </sheetViews>
  <sheetFormatPr baseColWidth="8" defaultRowHeight="12.75"/>
  <cols>
    <col width="12.85546875" customWidth="1" style="220" min="1" max="1"/>
    <col width="15.7109375" customWidth="1" style="220" min="2" max="8"/>
  </cols>
  <sheetData>
    <row r="1" ht="23.25" customFormat="1" customHeight="1" s="215">
      <c r="A1" s="167" t="inlineStr">
        <is>
          <t>POROSITY LOG</t>
        </is>
      </c>
      <c r="B1" s="167" t="n"/>
      <c r="C1" s="167" t="n"/>
    </row>
    <row r="3" ht="15" customHeight="1" s="220">
      <c r="A3" s="439" t="inlineStr">
        <is>
          <t>**Please do not add or remove any columns**</t>
        </is>
      </c>
    </row>
    <row r="5" ht="16.5" customHeight="1" s="220">
      <c r="A5" s="52" t="n"/>
      <c r="B5" s="43" t="inlineStr">
        <is>
          <t>Leg Length</t>
        </is>
      </c>
      <c r="C5" s="43" t="inlineStr">
        <is>
          <t>ɸ &lt;9%</t>
        </is>
      </c>
      <c r="D5" s="43" t="inlineStr">
        <is>
          <t>ɸ 9%</t>
        </is>
      </c>
      <c r="E5" s="43" t="inlineStr">
        <is>
          <t>ɸ 12%</t>
        </is>
      </c>
      <c r="F5" s="43" t="inlineStr">
        <is>
          <t>ɸ 15%</t>
        </is>
      </c>
      <c r="G5" s="43" t="inlineStr">
        <is>
          <t>ɸ 18%</t>
        </is>
      </c>
      <c r="H5" s="44" t="inlineStr">
        <is>
          <t>ɸ &gt;18%</t>
        </is>
      </c>
    </row>
    <row r="6">
      <c r="A6" s="53" t="inlineStr">
        <is>
          <t>Leg 1</t>
        </is>
      </c>
      <c r="B6" s="542">
        <f>SUM(C6:H6)</f>
        <v/>
      </c>
      <c r="C6" s="543" t="n">
        <v>32</v>
      </c>
      <c r="D6" s="543" t="n">
        <v>21.5</v>
      </c>
      <c r="E6" s="543" t="n">
        <v>495</v>
      </c>
      <c r="F6" s="543" t="n">
        <v>915.5</v>
      </c>
      <c r="G6" s="543" t="n">
        <v>443</v>
      </c>
      <c r="H6" s="549" t="n">
        <v>7</v>
      </c>
    </row>
    <row r="7">
      <c r="A7" s="289" t="inlineStr">
        <is>
          <t>Leg 2</t>
        </is>
      </c>
      <c r="B7" s="542">
        <f>SUM(C7:H7)</f>
        <v/>
      </c>
      <c r="C7" s="550" t="n">
        <v>29</v>
      </c>
      <c r="D7" s="550" t="n">
        <v>9</v>
      </c>
      <c r="E7" s="550" t="n">
        <v>415</v>
      </c>
      <c r="F7" s="550" t="n">
        <v>610.5</v>
      </c>
      <c r="G7" s="550" t="n">
        <v>202.5</v>
      </c>
      <c r="H7" s="551" t="n"/>
    </row>
    <row r="8">
      <c r="A8" s="81" t="inlineStr">
        <is>
          <t>Leg 3</t>
        </is>
      </c>
      <c r="B8" s="542">
        <f>SUM(C8:H8)</f>
        <v/>
      </c>
      <c r="C8" s="542" t="n">
        <v>37.5</v>
      </c>
      <c r="D8" s="542" t="n">
        <v>11</v>
      </c>
      <c r="E8" s="542" t="n">
        <v>420</v>
      </c>
      <c r="F8" s="542" t="n">
        <v>739</v>
      </c>
      <c r="G8" s="542" t="n">
        <v>452.5</v>
      </c>
      <c r="H8" s="544" t="n"/>
      <c r="I8" s="552" t="n"/>
    </row>
    <row r="9">
      <c r="A9" s="289" t="inlineStr">
        <is>
          <t>Leg 4</t>
        </is>
      </c>
      <c r="B9" s="542">
        <f>SUM(C9:H9)</f>
        <v/>
      </c>
      <c r="C9" s="550" t="n">
        <v>92</v>
      </c>
      <c r="D9" s="550" t="n">
        <v>88.5</v>
      </c>
      <c r="E9" s="550" t="n">
        <v>371.5</v>
      </c>
      <c r="F9" s="550" t="n">
        <v>573.5</v>
      </c>
      <c r="G9" s="550" t="n">
        <v>305</v>
      </c>
      <c r="H9" s="551" t="n">
        <v>8.5</v>
      </c>
    </row>
    <row r="10" ht="12.95" customHeight="1" s="220">
      <c r="A10" s="81" t="inlineStr">
        <is>
          <t>Leg 5</t>
        </is>
      </c>
      <c r="B10" s="542">
        <f>SUM(C10:H10)</f>
        <v/>
      </c>
      <c r="C10" s="542" t="n"/>
      <c r="D10" s="542" t="n"/>
      <c r="E10" s="542" t="n"/>
      <c r="F10" s="542" t="n"/>
      <c r="G10" s="542" t="n"/>
      <c r="H10" s="551" t="n"/>
    </row>
    <row r="11" s="220">
      <c r="A11" s="289" t="inlineStr">
        <is>
          <t>Leg 6</t>
        </is>
      </c>
      <c r="B11" s="542">
        <f>SUM(C11:H11)</f>
        <v/>
      </c>
      <c r="C11" s="550" t="n"/>
      <c r="D11" s="550" t="n"/>
      <c r="E11" s="550" t="n"/>
      <c r="F11" s="550" t="n"/>
      <c r="G11" s="550" t="n"/>
      <c r="H11" s="551" t="n"/>
    </row>
    <row r="12" hidden="1" s="220">
      <c r="A12" s="289" t="inlineStr">
        <is>
          <t>Leg 7</t>
        </is>
      </c>
      <c r="B12" s="542">
        <f>SUM(C12:H12)</f>
        <v/>
      </c>
      <c r="C12" s="550" t="n"/>
      <c r="D12" s="550" t="n"/>
      <c r="E12" s="550" t="n"/>
      <c r="F12" s="550" t="n"/>
      <c r="G12" s="550" t="n"/>
      <c r="H12" s="551" t="n"/>
    </row>
    <row r="13" hidden="1" s="220">
      <c r="A13" s="289" t="inlineStr">
        <is>
          <t>Leg 8</t>
        </is>
      </c>
      <c r="B13" s="542">
        <f>SUM(C13:H13)</f>
        <v/>
      </c>
      <c r="C13" s="550" t="n"/>
      <c r="D13" s="550" t="n"/>
      <c r="E13" s="550" t="n"/>
      <c r="F13" s="550" t="n"/>
      <c r="G13" s="550" t="n"/>
      <c r="H13" s="551" t="n"/>
    </row>
    <row r="14" hidden="1" s="220">
      <c r="A14" s="289" t="inlineStr">
        <is>
          <t>Leg 9</t>
        </is>
      </c>
      <c r="B14" s="542">
        <f>SUM(C14:H14)</f>
        <v/>
      </c>
      <c r="C14" s="550" t="n"/>
      <c r="D14" s="550" t="n"/>
      <c r="E14" s="550" t="n"/>
      <c r="F14" s="550" t="n"/>
      <c r="G14" s="550" t="n"/>
      <c r="H14" s="551" t="n"/>
    </row>
    <row r="15" hidden="1" s="220">
      <c r="A15" s="289" t="inlineStr">
        <is>
          <t>Leg 10</t>
        </is>
      </c>
      <c r="B15" s="542">
        <f>SUM(C15:H15)</f>
        <v/>
      </c>
      <c r="C15" s="550" t="n"/>
      <c r="D15" s="550" t="n"/>
      <c r="E15" s="550" t="n"/>
      <c r="F15" s="550" t="n"/>
      <c r="G15" s="550" t="n"/>
      <c r="H15" s="551" t="n"/>
    </row>
    <row r="16" hidden="1" s="220">
      <c r="A16" s="289" t="inlineStr">
        <is>
          <t>Leg 11</t>
        </is>
      </c>
      <c r="B16" s="542">
        <f>SUM(C16:H16)</f>
        <v/>
      </c>
      <c r="C16" s="550" t="n"/>
      <c r="D16" s="550" t="n"/>
      <c r="E16" s="550" t="n"/>
      <c r="F16" s="550" t="n"/>
      <c r="G16" s="550" t="n"/>
      <c r="H16" s="551" t="n"/>
    </row>
    <row r="17" hidden="1" s="220">
      <c r="A17" s="289" t="inlineStr">
        <is>
          <t>Leg 12</t>
        </is>
      </c>
      <c r="B17" s="542">
        <f>SUM(C17:H17)</f>
        <v/>
      </c>
      <c r="C17" s="550" t="n"/>
      <c r="D17" s="550" t="n"/>
      <c r="E17" s="550" t="n"/>
      <c r="F17" s="550" t="n"/>
      <c r="G17" s="550" t="n"/>
      <c r="H17" s="551" t="n"/>
    </row>
    <row r="18" hidden="1" s="220">
      <c r="A18" s="289" t="inlineStr">
        <is>
          <t>Leg 13</t>
        </is>
      </c>
      <c r="B18" s="542">
        <f>SUM(C18:H18)</f>
        <v/>
      </c>
      <c r="C18" s="550" t="n"/>
      <c r="D18" s="550" t="n"/>
      <c r="E18" s="550" t="n"/>
      <c r="F18" s="550" t="n"/>
      <c r="G18" s="550" t="n"/>
      <c r="H18" s="551" t="n"/>
    </row>
    <row r="19" hidden="1" s="220">
      <c r="A19" s="289" t="inlineStr">
        <is>
          <t>Leg 14</t>
        </is>
      </c>
      <c r="B19" s="542">
        <f>SUM(C19:H19)</f>
        <v/>
      </c>
      <c r="C19" s="550" t="n"/>
      <c r="D19" s="550" t="n"/>
      <c r="E19" s="550" t="n"/>
      <c r="F19" s="550" t="n"/>
      <c r="G19" s="550" t="n"/>
      <c r="H19" s="551" t="n"/>
    </row>
    <row r="20" hidden="1" s="220">
      <c r="A20" s="289" t="inlineStr">
        <is>
          <t>Leg 15</t>
        </is>
      </c>
      <c r="B20" s="542">
        <f>SUM(C20:H20)</f>
        <v/>
      </c>
      <c r="C20" s="550" t="n"/>
      <c r="D20" s="550" t="n"/>
      <c r="E20" s="550" t="n"/>
      <c r="F20" s="550" t="n"/>
      <c r="G20" s="550" t="n"/>
      <c r="H20" s="551" t="n"/>
    </row>
    <row r="21" ht="16.5" customHeight="1" s="220">
      <c r="A21" s="54" t="inlineStr">
        <is>
          <t>Total</t>
        </is>
      </c>
      <c r="B21" s="51" t="n"/>
      <c r="C21" s="51" t="n"/>
      <c r="D21" s="51" t="n"/>
      <c r="E21" s="51" t="n"/>
      <c r="F21" s="51" t="n"/>
      <c r="G21" s="51" t="n"/>
      <c r="H21" s="51" t="n"/>
    </row>
    <row r="22">
      <c r="A22" s="84" t="inlineStr">
        <is>
          <t>f (m)</t>
        </is>
      </c>
      <c r="B22" s="547">
        <f>SUM(B6:B20)</f>
        <v/>
      </c>
      <c r="C22" s="547">
        <f>SUM(C6:C20)</f>
        <v/>
      </c>
      <c r="D22" s="547">
        <f>SUM(D6:D20)</f>
        <v/>
      </c>
      <c r="E22" s="547">
        <f>SUM(E6:E20)</f>
        <v/>
      </c>
      <c r="F22" s="547">
        <f>SUM(F6:F20)</f>
        <v/>
      </c>
      <c r="G22" s="547">
        <f>SUM(G6:G20)</f>
        <v/>
      </c>
      <c r="H22" s="553">
        <f>SUM(H6:H20)</f>
        <v/>
      </c>
    </row>
    <row r="23" ht="15" customHeight="1" s="220">
      <c r="A23" s="85" t="inlineStr">
        <is>
          <t>%</t>
        </is>
      </c>
      <c r="B23" s="113" t="inlineStr">
        <is>
          <t>-</t>
        </is>
      </c>
      <c r="C23" s="114">
        <f>IF(C22=0,0,C22/$B22)</f>
        <v/>
      </c>
      <c r="D23" s="114">
        <f>IF(D22=0,0,D22/$B22)</f>
        <v/>
      </c>
      <c r="E23" s="114">
        <f>IF(E22=0,0,E22/$B22)</f>
        <v/>
      </c>
      <c r="F23" s="114">
        <f>IF(F22=0,0,F22/$B22)</f>
        <v/>
      </c>
      <c r="G23" s="114">
        <f>IF(G22=0,0,G22/$B22)</f>
        <v/>
      </c>
      <c r="H23" s="115">
        <f>IF(H22=0,0,H22/$B22)</f>
        <v/>
      </c>
      <c r="I23" s="86" t="n"/>
      <c r="K23">
        <f>SUM(K20:M20)</f>
        <v/>
      </c>
      <c r="L23">
        <f>N20</f>
        <v/>
      </c>
      <c r="M23">
        <f>O20</f>
        <v/>
      </c>
      <c r="N23">
        <f>P20</f>
        <v/>
      </c>
      <c r="O23">
        <f>Q20</f>
        <v/>
      </c>
      <c r="P23">
        <f>SUM(R20:S20)</f>
        <v/>
      </c>
      <c r="Q23" s="333">
        <f>SUM(K20:S20)</f>
        <v/>
      </c>
    </row>
    <row r="26" ht="15" customHeight="1" s="220">
      <c r="I26">
        <f>SUM(I23:K23)</f>
        <v/>
      </c>
      <c r="J26">
        <f>L23</f>
        <v/>
      </c>
      <c r="K26">
        <f>M23</f>
        <v/>
      </c>
      <c r="L26">
        <f>N23</f>
        <v/>
      </c>
      <c r="M26">
        <f>O23</f>
        <v/>
      </c>
      <c r="N26">
        <f>SUM(P23:Q23)</f>
        <v/>
      </c>
      <c r="O26" s="333">
        <f>SUM(I23:Q23)</f>
        <v/>
      </c>
    </row>
    <row r="27" ht="15" customHeight="1" s="220">
      <c r="B27" s="334" t="n"/>
      <c r="C27" s="334" t="n"/>
      <c r="D27" s="334" t="n"/>
      <c r="E27" s="334" t="n"/>
      <c r="F27" s="334" t="n"/>
      <c r="G27" s="335" t="n"/>
    </row>
    <row r="28" ht="15" customHeight="1" s="220">
      <c r="B28" s="334" t="n"/>
      <c r="C28" s="334" t="n"/>
      <c r="D28" s="334" t="n"/>
      <c r="E28" s="334" t="n"/>
      <c r="F28" s="334" t="n"/>
      <c r="G28" s="334" t="n"/>
      <c r="K28">
        <f>M25</f>
        <v/>
      </c>
      <c r="L28">
        <f>N25</f>
        <v/>
      </c>
      <c r="M28">
        <f>O25</f>
        <v/>
      </c>
      <c r="N28">
        <f>P25</f>
        <v/>
      </c>
      <c r="O28">
        <f>SUM(Q25:R25)</f>
        <v/>
      </c>
      <c r="P28" s="333">
        <f>SUM(J25:R25)</f>
        <v/>
      </c>
    </row>
    <row r="29" ht="15" customHeight="1" s="220">
      <c r="B29" s="334" t="n"/>
      <c r="C29" s="334" t="n"/>
      <c r="D29" s="334" t="n"/>
      <c r="E29" s="334" t="n"/>
      <c r="F29" s="334" t="n"/>
      <c r="G29" s="334" t="n"/>
      <c r="K29">
        <f>M26</f>
        <v/>
      </c>
      <c r="L29">
        <f>N26</f>
        <v/>
      </c>
      <c r="M29">
        <f>O26</f>
        <v/>
      </c>
      <c r="N29">
        <f>SUM(P26:Q26)</f>
        <v/>
      </c>
      <c r="O29" s="333">
        <f>SUM(I26:Q26)</f>
        <v/>
      </c>
    </row>
    <row r="30">
      <c r="B30" s="334" t="n"/>
      <c r="C30" s="334" t="n"/>
      <c r="D30" s="334" t="n"/>
      <c r="E30" s="334" t="n"/>
      <c r="F30" s="334" t="n"/>
      <c r="G30" s="334" t="n"/>
    </row>
    <row r="31">
      <c r="B31" s="334" t="n"/>
    </row>
    <row r="32">
      <c r="B32" s="334" t="n"/>
      <c r="C32" s="334" t="n"/>
      <c r="D32" s="334" t="n"/>
      <c r="E32" s="334" t="n"/>
      <c r="F32" s="334" t="n"/>
      <c r="G32" s="334" t="n"/>
    </row>
    <row r="33"/>
    <row r="38">
      <c r="D38" s="334" t="n"/>
    </row>
  </sheetData>
  <mergeCells count="1">
    <mergeCell ref="A3:H3"/>
  </mergeCells>
  <pageMargins left="0.7" right="0.7" top="0.75" bottom="0.75" header="0.3" footer="0.3"/>
  <pageSetup orientation="landscape"/>
</worksheet>
</file>

<file path=xl/worksheets/sheet13.xml><?xml version="1.0" encoding="utf-8"?>
<worksheet xmlns:r="http://schemas.openxmlformats.org/officeDocument/2006/relationships" xmlns="http://schemas.openxmlformats.org/spreadsheetml/2006/main">
  <sheetPr codeName="Sheet14">
    <outlinePr summaryBelow="1" summaryRight="1"/>
    <pageSetUpPr fitToPage="1"/>
  </sheetPr>
  <dimension ref="A1:Y45"/>
  <sheetViews>
    <sheetView topLeftCell="A5" zoomScaleNormal="100" workbookViewId="0">
      <selection activeCell="U9" sqref="U9:U2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#7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 t="n"/>
      <c r="V9" s="153" t="n"/>
      <c r="W9" s="147" t="n"/>
    </row>
    <row r="10">
      <c r="A10" s="129" t="n"/>
      <c r="B10" s="284" t="n"/>
      <c r="C10" s="534" t="n"/>
      <c r="D10" s="535" t="n"/>
      <c r="E10" s="554" t="n"/>
      <c r="F10" s="536" t="n"/>
      <c r="G10" s="536" t="n"/>
      <c r="H10" s="536" t="n"/>
      <c r="I10" s="536" t="n"/>
      <c r="J10" s="541" t="n"/>
      <c r="K10" s="384" t="n"/>
      <c r="L10" s="537" t="n"/>
      <c r="N10" s="133" t="n"/>
      <c r="Q10" s="284" t="n"/>
      <c r="R10" s="284" t="n"/>
      <c r="S10" s="285" t="n"/>
      <c r="T10" s="152" t="n"/>
      <c r="U10" s="284" t="n"/>
      <c r="V10" s="153" t="n"/>
      <c r="W10" s="147" t="n"/>
    </row>
    <row r="11" ht="12.75" customHeight="1" s="220">
      <c r="A11" s="129" t="n"/>
      <c r="B11" s="284" t="n"/>
      <c r="C11" s="534" t="n"/>
      <c r="D11" s="535" t="n"/>
      <c r="E11" s="555" t="n"/>
      <c r="F11" s="536" t="n"/>
      <c r="G11" s="536" t="n"/>
      <c r="H11" s="536" t="n"/>
      <c r="I11" s="536" t="n"/>
      <c r="J11" s="541" t="n"/>
      <c r="K11" s="414" t="n"/>
      <c r="L11" s="536" t="n"/>
      <c r="N11" s="133" t="n"/>
      <c r="Q11" s="284" t="n"/>
      <c r="R11" s="284" t="n"/>
      <c r="S11" s="285" t="n"/>
      <c r="T11" s="152" t="n"/>
      <c r="U11" s="284" t="n"/>
      <c r="V11" s="153" t="n"/>
      <c r="W11" s="147" t="n"/>
    </row>
    <row r="12" ht="12.75" customHeight="1" s="220">
      <c r="A12" s="129" t="n"/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 t="n"/>
      <c r="S12" s="285" t="n"/>
      <c r="T12" s="152" t="n"/>
      <c r="U12" s="284" t="n"/>
      <c r="V12" s="153" t="n"/>
      <c r="W12" s="147" t="n"/>
    </row>
    <row r="13" ht="12.75" customHeight="1" s="220">
      <c r="A13" s="129" t="n"/>
      <c r="B13" s="284" t="n"/>
      <c r="C13" s="534" t="n"/>
      <c r="D13" s="535" t="n"/>
      <c r="E13" s="555" t="n"/>
      <c r="F13" s="536" t="n"/>
      <c r="G13" s="536" t="n"/>
      <c r="H13" s="536" t="n"/>
      <c r="I13" s="536" t="n"/>
      <c r="J13" s="541" t="n"/>
      <c r="K13" s="414" t="n"/>
      <c r="L13" s="536" t="n"/>
      <c r="N13" s="133" t="n"/>
      <c r="Q13" s="284" t="n"/>
      <c r="R13" s="284" t="n"/>
      <c r="S13" s="285" t="n"/>
      <c r="T13" s="152" t="n"/>
      <c r="U13" s="284" t="n"/>
      <c r="V13" s="153" t="n"/>
      <c r="W13" s="147" t="n"/>
    </row>
    <row r="14" ht="12.75" customHeight="1" s="220">
      <c r="A14" s="129" t="n"/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 t="n"/>
      <c r="V14" s="153" t="n"/>
      <c r="W14" s="148" t="n"/>
    </row>
    <row r="15" ht="12.95" customHeight="1" s="220">
      <c r="A15" s="129" t="n"/>
      <c r="B15" s="284" t="n"/>
      <c r="C15" s="534" t="n"/>
      <c r="D15" s="535" t="n"/>
      <c r="E15" s="555" t="n"/>
      <c r="F15" s="536" t="n"/>
      <c r="G15" s="536" t="n"/>
      <c r="H15" s="536" t="n"/>
      <c r="I15" s="536" t="n"/>
      <c r="J15" s="541" t="n"/>
      <c r="K15" s="384" t="n"/>
      <c r="L15" s="537" t="n"/>
      <c r="N15" s="133" t="n"/>
      <c r="Q15" s="284" t="n"/>
      <c r="R15" s="284" t="n"/>
      <c r="S15" s="285" t="n"/>
      <c r="T15" s="152" t="n"/>
      <c r="U15" s="284" t="n"/>
      <c r="V15" s="153" t="n"/>
      <c r="W15" s="147" t="n"/>
    </row>
    <row r="16">
      <c r="A16" s="129" t="n"/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 t="n"/>
      <c r="V16" s="153" t="n"/>
      <c r="W16" s="147" t="n"/>
    </row>
    <row r="17">
      <c r="A17" s="129" t="n"/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 t="n"/>
      <c r="V17" s="153" t="n"/>
      <c r="W17" s="147" t="n"/>
    </row>
    <row r="18">
      <c r="A18" s="129" t="n"/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 t="n"/>
      <c r="V18" s="153" t="n"/>
      <c r="W18" s="147" t="n"/>
    </row>
    <row r="19">
      <c r="A19" s="129" t="n"/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 t="n"/>
      <c r="V19" s="153" t="n"/>
      <c r="W19" s="147" t="n"/>
    </row>
    <row r="20" ht="23.25" customHeight="1" s="220">
      <c r="A20" s="129" t="n"/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 t="n"/>
      <c r="V20" s="153" t="n"/>
      <c r="W20" s="147" t="n"/>
    </row>
    <row r="21">
      <c r="A21" s="129" t="n"/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285" t="n"/>
      <c r="T21" s="152" t="n"/>
      <c r="U21" s="284" t="n"/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285" t="n"/>
      <c r="T22" s="152" t="n"/>
      <c r="U22" s="284" t="n"/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285" t="n"/>
      <c r="T23" s="152" t="n"/>
      <c r="U23" s="284" t="n"/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 t="n"/>
      <c r="S24" s="285" t="n"/>
      <c r="T24" s="152" t="n"/>
      <c r="U24" s="284" t="n"/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 t="n"/>
      <c r="S25" s="154" t="n"/>
      <c r="T25" s="152" t="n"/>
      <c r="U25" s="284" t="n"/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 t="n"/>
      <c r="S26" s="154" t="n"/>
      <c r="T26" s="156" t="n"/>
      <c r="U26" s="284" t="n"/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 t="n"/>
      <c r="S27" s="154" t="n"/>
      <c r="T27" s="156" t="n"/>
      <c r="U27" s="284" t="n"/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 t="n"/>
      <c r="S28" s="154" t="n"/>
      <c r="T28" s="156" t="n"/>
      <c r="U28" s="284" t="n"/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 t="n"/>
      <c r="S29" s="154" t="n"/>
      <c r="T29" s="156" t="n"/>
      <c r="U29" s="284" t="n"/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E9:J9"/>
    <mergeCell ref="K9:L9"/>
    <mergeCell ref="E10:J10"/>
    <mergeCell ref="K10:L10"/>
    <mergeCell ref="C7:D7"/>
    <mergeCell ref="E7:J7"/>
    <mergeCell ref="K7:L7"/>
    <mergeCell ref="E8:J8"/>
    <mergeCell ref="K8:L8"/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A1:L1"/>
    <mergeCell ref="Q6:V6"/>
    <mergeCell ref="Q7:S7"/>
    <mergeCell ref="T7:V7"/>
    <mergeCell ref="E13:J13"/>
    <mergeCell ref="K13:L13"/>
    <mergeCell ref="E11:J11"/>
    <mergeCell ref="K11:L11"/>
    <mergeCell ref="E12:J12"/>
    <mergeCell ref="K12:L12"/>
    <mergeCell ref="A2:L2"/>
    <mergeCell ref="A3:L3"/>
    <mergeCell ref="A4:L4"/>
    <mergeCell ref="A5:L5"/>
    <mergeCell ref="A6:L6"/>
    <mergeCell ref="A7:B7"/>
  </mergeCells>
  <conditionalFormatting sqref="A31:A36">
    <cfRule type="containsText" priority="271" operator="containsText" dxfId="6" stopIfTrue="1" text="0">
      <formula>NOT(ISERROR(SEARCH("0",A31)))</formula>
    </cfRule>
    <cfRule type="containsText" priority="272" operator="containsText" dxfId="5" stopIfTrue="1" text="1">
      <formula>NOT(ISERROR(SEARCH("1",A31)))</formula>
    </cfRule>
    <cfRule type="containsText" priority="273" operator="containsText" dxfId="4" stopIfTrue="1" text="2">
      <formula>NOT(ISERROR(SEARCH("2",A31)))</formula>
    </cfRule>
    <cfRule type="containsText" priority="274" operator="containsText" dxfId="3" stopIfTrue="1" text="3">
      <formula>NOT(ISERROR(SEARCH("3",A31)))</formula>
    </cfRule>
    <cfRule type="containsText" priority="275" operator="containsText" dxfId="2" stopIfTrue="1" text="4">
      <formula>NOT(ISERROR(SEARCH("4",A31)))</formula>
    </cfRule>
    <cfRule type="containsText" priority="276" operator="containsText" dxfId="1" stopIfTrue="1" text="5">
      <formula>NOT(ISERROR(SEARCH("5",A31)))</formula>
    </cfRule>
  </conditionalFormatting>
  <conditionalFormatting sqref="K28:L28">
    <cfRule type="containsText" priority="259" operator="containsText" dxfId="6" stopIfTrue="1" text="0">
      <formula>NOT(ISERROR(SEARCH("0",K28)))</formula>
    </cfRule>
    <cfRule type="containsText" priority="260" operator="containsText" dxfId="5" stopIfTrue="1" text="1">
      <formula>NOT(ISERROR(SEARCH("1",K28)))</formula>
    </cfRule>
    <cfRule type="containsText" priority="261" operator="containsText" dxfId="4" stopIfTrue="1" text="2">
      <formula>NOT(ISERROR(SEARCH("2",K28)))</formula>
    </cfRule>
    <cfRule type="containsText" priority="262" operator="containsText" dxfId="3" stopIfTrue="1" text="3">
      <formula>NOT(ISERROR(SEARCH("3",K28)))</formula>
    </cfRule>
    <cfRule type="containsText" priority="263" operator="containsText" dxfId="2" stopIfTrue="1" text="4">
      <formula>NOT(ISERROR(SEARCH("4",K28)))</formula>
    </cfRule>
    <cfRule type="containsText" priority="264" operator="containsText" dxfId="1" stopIfTrue="1" text="5">
      <formula>NOT(ISERROR(SEARCH("5",K28)))</formula>
    </cfRule>
  </conditionalFormatting>
  <conditionalFormatting sqref="K29:L29">
    <cfRule type="containsText" priority="265" operator="containsText" dxfId="6" stopIfTrue="1" text="0">
      <formula>NOT(ISERROR(SEARCH("0",K29)))</formula>
    </cfRule>
    <cfRule type="containsText" priority="266" operator="containsText" dxfId="5" stopIfTrue="1" text="1">
      <formula>NOT(ISERROR(SEARCH("1",K29)))</formula>
    </cfRule>
    <cfRule type="containsText" priority="267" operator="containsText" dxfId="4" stopIfTrue="1" text="2">
      <formula>NOT(ISERROR(SEARCH("2",K29)))</formula>
    </cfRule>
    <cfRule type="containsText" priority="268" operator="containsText" dxfId="3" stopIfTrue="1" text="3">
      <formula>NOT(ISERROR(SEARCH("3",K29)))</formula>
    </cfRule>
    <cfRule type="containsText" priority="269" operator="containsText" dxfId="2" stopIfTrue="1" text="4">
      <formula>NOT(ISERROR(SEARCH("4",K29)))</formula>
    </cfRule>
    <cfRule type="containsText" priority="270" operator="containsText" dxfId="1" stopIfTrue="1" text="5">
      <formula>NOT(ISERROR(SEARCH("5",K29)))</formula>
    </cfRule>
  </conditionalFormatting>
  <conditionalFormatting sqref="K22:L24">
    <cfRule type="containsText" priority="241" operator="containsText" dxfId="6" stopIfTrue="1" text="0">
      <formula>NOT(ISERROR(SEARCH("0",K22)))</formula>
    </cfRule>
    <cfRule type="containsText" priority="242" operator="containsText" dxfId="5" stopIfTrue="1" text="1">
      <formula>NOT(ISERROR(SEARCH("1",K22)))</formula>
    </cfRule>
    <cfRule type="containsText" priority="243" operator="containsText" dxfId="4" stopIfTrue="1" text="2">
      <formula>NOT(ISERROR(SEARCH("2",K22)))</formula>
    </cfRule>
    <cfRule type="containsText" priority="244" operator="containsText" dxfId="3" stopIfTrue="1" text="3">
      <formula>NOT(ISERROR(SEARCH("3",K22)))</formula>
    </cfRule>
    <cfRule type="containsText" priority="245" operator="containsText" dxfId="2" stopIfTrue="1" text="4">
      <formula>NOT(ISERROR(SEARCH("4",K22)))</formula>
    </cfRule>
    <cfRule type="containsText" priority="246" operator="containsText" dxfId="1" stopIfTrue="1" text="5">
      <formula>NOT(ISERROR(SEARCH("5",K22)))</formula>
    </cfRule>
  </conditionalFormatting>
  <conditionalFormatting sqref="K27 K25:L26">
    <cfRule type="containsText" priority="217" operator="containsText" dxfId="6" stopIfTrue="1" text="0">
      <formula>NOT(ISERROR(SEARCH("0",K25)))</formula>
    </cfRule>
    <cfRule type="containsText" priority="218" operator="containsText" dxfId="5" stopIfTrue="1" text="1">
      <formula>NOT(ISERROR(SEARCH("1",K25)))</formula>
    </cfRule>
    <cfRule type="containsText" priority="219" operator="containsText" dxfId="4" stopIfTrue="1" text="2">
      <formula>NOT(ISERROR(SEARCH("2",K25)))</formula>
    </cfRule>
    <cfRule type="containsText" priority="220" operator="containsText" dxfId="3" stopIfTrue="1" text="3">
      <formula>NOT(ISERROR(SEARCH("3",K25)))</formula>
    </cfRule>
    <cfRule type="containsText" priority="221" operator="containsText" dxfId="2" stopIfTrue="1" text="4">
      <formula>NOT(ISERROR(SEARCH("4",K25)))</formula>
    </cfRule>
    <cfRule type="containsText" priority="222" operator="containsText" dxfId="1" stopIfTrue="1" text="5">
      <formula>NOT(ISERROR(SEARCH("5",K25)))</formula>
    </cfRule>
  </conditionalFormatting>
  <conditionalFormatting sqref="K17:L17">
    <cfRule type="containsText" priority="151" operator="containsText" dxfId="6" stopIfTrue="1" text="0">
      <formula>NOT(ISERROR(SEARCH("0",K17)))</formula>
    </cfRule>
    <cfRule type="containsText" priority="152" operator="containsText" dxfId="5" stopIfTrue="1" text="1">
      <formula>NOT(ISERROR(SEARCH("1",K17)))</formula>
    </cfRule>
    <cfRule type="containsText" priority="153" operator="containsText" dxfId="4" stopIfTrue="1" text="2">
      <formula>NOT(ISERROR(SEARCH("2",K17)))</formula>
    </cfRule>
    <cfRule type="containsText" priority="154" operator="containsText" dxfId="3" stopIfTrue="1" text="3">
      <formula>NOT(ISERROR(SEARCH("3",K17)))</formula>
    </cfRule>
    <cfRule type="containsText" priority="155" operator="containsText" dxfId="2" stopIfTrue="1" text="4">
      <formula>NOT(ISERROR(SEARCH("4",K17)))</formula>
    </cfRule>
    <cfRule type="containsText" priority="156" operator="containsText" dxfId="1" stopIfTrue="1" text="5">
      <formula>NOT(ISERROR(SEARCH("5",K17)))</formula>
    </cfRule>
  </conditionalFormatting>
  <conditionalFormatting sqref="K13:L13">
    <cfRule type="containsText" priority="103" operator="containsText" dxfId="6" stopIfTrue="1" text="0">
      <formula>NOT(ISERROR(SEARCH("0",K13)))</formula>
    </cfRule>
    <cfRule type="containsText" priority="104" operator="containsText" dxfId="5" stopIfTrue="1" text="1">
      <formula>NOT(ISERROR(SEARCH("1",K13)))</formula>
    </cfRule>
    <cfRule type="containsText" priority="105" operator="containsText" dxfId="4" stopIfTrue="1" text="2">
      <formula>NOT(ISERROR(SEARCH("2",K13)))</formula>
    </cfRule>
    <cfRule type="containsText" priority="106" operator="containsText" dxfId="3" stopIfTrue="1" text="3">
      <formula>NOT(ISERROR(SEARCH("3",K13)))</formula>
    </cfRule>
    <cfRule type="containsText" priority="107" operator="containsText" dxfId="2" stopIfTrue="1" text="4">
      <formula>NOT(ISERROR(SEARCH("4",K13)))</formula>
    </cfRule>
    <cfRule type="containsText" priority="108" operator="containsText" dxfId="1" stopIfTrue="1" text="5">
      <formula>NOT(ISERROR(SEARCH("5",K13)))</formula>
    </cfRule>
  </conditionalFormatting>
  <conditionalFormatting sqref="K9:L9">
    <cfRule type="containsText" priority="91" operator="containsText" dxfId="6" stopIfTrue="1" text="0">
      <formula>NOT(ISERROR(SEARCH("0",K9)))</formula>
    </cfRule>
    <cfRule type="containsText" priority="92" operator="containsText" dxfId="5" stopIfTrue="1" text="1">
      <formula>NOT(ISERROR(SEARCH("1",K9)))</formula>
    </cfRule>
    <cfRule type="containsText" priority="93" operator="containsText" dxfId="4" stopIfTrue="1" text="2">
      <formula>NOT(ISERROR(SEARCH("2",K9)))</formula>
    </cfRule>
    <cfRule type="containsText" priority="94" operator="containsText" dxfId="3" stopIfTrue="1" text="3">
      <formula>NOT(ISERROR(SEARCH("3",K9)))</formula>
    </cfRule>
    <cfRule type="containsText" priority="95" operator="containsText" dxfId="2" stopIfTrue="1" text="4">
      <formula>NOT(ISERROR(SEARCH("4",K9)))</formula>
    </cfRule>
    <cfRule type="containsText" priority="96" operator="containsText" dxfId="1" stopIfTrue="1" text="5">
      <formula>NOT(ISERROR(SEARCH("5",K9)))</formula>
    </cfRule>
  </conditionalFormatting>
  <conditionalFormatting sqref="K11:L11">
    <cfRule type="containsText" priority="85" operator="containsText" dxfId="6" stopIfTrue="1" text="0">
      <formula>NOT(ISERROR(SEARCH("0",K11)))</formula>
    </cfRule>
    <cfRule type="containsText" priority="86" operator="containsText" dxfId="5" stopIfTrue="1" text="1">
      <formula>NOT(ISERROR(SEARCH("1",K11)))</formula>
    </cfRule>
    <cfRule type="containsText" priority="87" operator="containsText" dxfId="4" stopIfTrue="1" text="2">
      <formula>NOT(ISERROR(SEARCH("2",K11)))</formula>
    </cfRule>
    <cfRule type="containsText" priority="88" operator="containsText" dxfId="3" stopIfTrue="1" text="3">
      <formula>NOT(ISERROR(SEARCH("3",K11)))</formula>
    </cfRule>
    <cfRule type="containsText" priority="89" operator="containsText" dxfId="2" stopIfTrue="1" text="4">
      <formula>NOT(ISERROR(SEARCH("4",K11)))</formula>
    </cfRule>
    <cfRule type="containsText" priority="90" operator="containsText" dxfId="1" stopIfTrue="1" text="5">
      <formula>NOT(ISERROR(SEARCH("5",K11)))</formula>
    </cfRule>
  </conditionalFormatting>
  <conditionalFormatting sqref="K10:L10">
    <cfRule type="containsText" priority="79" operator="containsText" dxfId="6" stopIfTrue="1" text="0">
      <formula>NOT(ISERROR(SEARCH("0",K10)))</formula>
    </cfRule>
    <cfRule type="containsText" priority="80" operator="containsText" dxfId="5" stopIfTrue="1" text="1">
      <formula>NOT(ISERROR(SEARCH("1",K10)))</formula>
    </cfRule>
    <cfRule type="containsText" priority="81" operator="containsText" dxfId="4" stopIfTrue="1" text="2">
      <formula>NOT(ISERROR(SEARCH("2",K10)))</formula>
    </cfRule>
    <cfRule type="containsText" priority="82" operator="containsText" dxfId="3" stopIfTrue="1" text="3">
      <formula>NOT(ISERROR(SEARCH("3",K10)))</formula>
    </cfRule>
    <cfRule type="containsText" priority="83" operator="containsText" dxfId="2" stopIfTrue="1" text="4">
      <formula>NOT(ISERROR(SEARCH("4",K10)))</formula>
    </cfRule>
    <cfRule type="containsText" priority="84" operator="containsText" dxfId="1" stopIfTrue="1" text="5">
      <formula>NOT(ISERROR(SEARCH("5",K10)))</formula>
    </cfRule>
  </conditionalFormatting>
  <conditionalFormatting sqref="K12:L12">
    <cfRule type="containsText" priority="61" operator="containsText" dxfId="6" stopIfTrue="1" text="0">
      <formula>NOT(ISERROR(SEARCH("0",K12)))</formula>
    </cfRule>
    <cfRule type="containsText" priority="62" operator="containsText" dxfId="5" stopIfTrue="1" text="1">
      <formula>NOT(ISERROR(SEARCH("1",K12)))</formula>
    </cfRule>
    <cfRule type="containsText" priority="63" operator="containsText" dxfId="4" stopIfTrue="1" text="2">
      <formula>NOT(ISERROR(SEARCH("2",K12)))</formula>
    </cfRule>
    <cfRule type="containsText" priority="64" operator="containsText" dxfId="3" stopIfTrue="1" text="3">
      <formula>NOT(ISERROR(SEARCH("3",K12)))</formula>
    </cfRule>
    <cfRule type="containsText" priority="65" operator="containsText" dxfId="2" stopIfTrue="1" text="4">
      <formula>NOT(ISERROR(SEARCH("4",K12)))</formula>
    </cfRule>
    <cfRule type="containsText" priority="66" operator="containsText" dxfId="1" stopIfTrue="1" text="5">
      <formula>NOT(ISERROR(SEARCH("5",K12)))</formula>
    </cfRule>
  </conditionalFormatting>
  <conditionalFormatting sqref="K14:L14">
    <cfRule type="containsText" priority="49" operator="containsText" dxfId="6" stopIfTrue="1" text="0">
      <formula>NOT(ISERROR(SEARCH("0",K14)))</formula>
    </cfRule>
    <cfRule type="containsText" priority="50" operator="containsText" dxfId="5" stopIfTrue="1" text="1">
      <formula>NOT(ISERROR(SEARCH("1",K14)))</formula>
    </cfRule>
    <cfRule type="containsText" priority="51" operator="containsText" dxfId="4" stopIfTrue="1" text="2">
      <formula>NOT(ISERROR(SEARCH("2",K14)))</formula>
    </cfRule>
    <cfRule type="containsText" priority="52" operator="containsText" dxfId="3" stopIfTrue="1" text="3">
      <formula>NOT(ISERROR(SEARCH("3",K14)))</formula>
    </cfRule>
    <cfRule type="containsText" priority="53" operator="containsText" dxfId="2" stopIfTrue="1" text="4">
      <formula>NOT(ISERROR(SEARCH("4",K14)))</formula>
    </cfRule>
    <cfRule type="containsText" priority="54" operator="containsText" dxfId="1" stopIfTrue="1" text="5">
      <formula>NOT(ISERROR(SEARCH("5",K14)))</formula>
    </cfRule>
  </conditionalFormatting>
  <conditionalFormatting sqref="K15:L15">
    <cfRule type="containsText" priority="43" operator="containsText" dxfId="6" stopIfTrue="1" text="0">
      <formula>NOT(ISERROR(SEARCH("0",K15)))</formula>
    </cfRule>
    <cfRule type="containsText" priority="44" operator="containsText" dxfId="5" stopIfTrue="1" text="1">
      <formula>NOT(ISERROR(SEARCH("1",K15)))</formula>
    </cfRule>
    <cfRule type="containsText" priority="45" operator="containsText" dxfId="4" stopIfTrue="1" text="2">
      <formula>NOT(ISERROR(SEARCH("2",K15)))</formula>
    </cfRule>
    <cfRule type="containsText" priority="46" operator="containsText" dxfId="3" stopIfTrue="1" text="3">
      <formula>NOT(ISERROR(SEARCH("3",K15)))</formula>
    </cfRule>
    <cfRule type="containsText" priority="47" operator="containsText" dxfId="2" stopIfTrue="1" text="4">
      <formula>NOT(ISERROR(SEARCH("4",K15)))</formula>
    </cfRule>
    <cfRule type="containsText" priority="48" operator="containsText" dxfId="1" stopIfTrue="1" text="5">
      <formula>NOT(ISERROR(SEARCH("5",K15)))</formula>
    </cfRule>
  </conditionalFormatting>
  <conditionalFormatting sqref="K16:L16">
    <cfRule type="containsText" priority="37" operator="containsText" dxfId="6" stopIfTrue="1" text="0">
      <formula>NOT(ISERROR(SEARCH("0",K16)))</formula>
    </cfRule>
    <cfRule type="containsText" priority="38" operator="containsText" dxfId="5" stopIfTrue="1" text="1">
      <formula>NOT(ISERROR(SEARCH("1",K16)))</formula>
    </cfRule>
    <cfRule type="containsText" priority="39" operator="containsText" dxfId="4" stopIfTrue="1" text="2">
      <formula>NOT(ISERROR(SEARCH("2",K16)))</formula>
    </cfRule>
    <cfRule type="containsText" priority="40" operator="containsText" dxfId="3" stopIfTrue="1" text="3">
      <formula>NOT(ISERROR(SEARCH("3",K16)))</formula>
    </cfRule>
    <cfRule type="containsText" priority="41" operator="containsText" dxfId="2" stopIfTrue="1" text="4">
      <formula>NOT(ISERROR(SEARCH("4",K16)))</formula>
    </cfRule>
    <cfRule type="containsText" priority="42" operator="containsText" dxfId="1" stopIfTrue="1" text="5">
      <formula>NOT(ISERROR(SEARCH("5",K16)))</formula>
    </cfRule>
  </conditionalFormatting>
  <conditionalFormatting sqref="K20:L20">
    <cfRule type="containsText" priority="19" operator="containsText" dxfId="6" stopIfTrue="1" text="0">
      <formula>NOT(ISERROR(SEARCH("0",K20)))</formula>
    </cfRule>
    <cfRule type="containsText" priority="20" operator="containsText" dxfId="5" stopIfTrue="1" text="1">
      <formula>NOT(ISERROR(SEARCH("1",K20)))</formula>
    </cfRule>
    <cfRule type="containsText" priority="21" operator="containsText" dxfId="4" stopIfTrue="1" text="2">
      <formula>NOT(ISERROR(SEARCH("2",K20)))</formula>
    </cfRule>
    <cfRule type="containsText" priority="22" operator="containsText" dxfId="3" stopIfTrue="1" text="3">
      <formula>NOT(ISERROR(SEARCH("3",K20)))</formula>
    </cfRule>
    <cfRule type="containsText" priority="23" operator="containsText" dxfId="2" stopIfTrue="1" text="4">
      <formula>NOT(ISERROR(SEARCH("4",K20)))</formula>
    </cfRule>
    <cfRule type="containsText" priority="24" operator="containsText" dxfId="1" stopIfTrue="1" text="5">
      <formula>NOT(ISERROR(SEARCH("5",K20)))</formula>
    </cfRule>
  </conditionalFormatting>
  <conditionalFormatting sqref="K21:L21">
    <cfRule type="containsText" priority="13" operator="containsText" dxfId="6" stopIfTrue="1" text="0">
      <formula>NOT(ISERROR(SEARCH("0",K21)))</formula>
    </cfRule>
    <cfRule type="containsText" priority="14" operator="containsText" dxfId="5" stopIfTrue="1" text="1">
      <formula>NOT(ISERROR(SEARCH("1",K21)))</formula>
    </cfRule>
    <cfRule type="containsText" priority="15" operator="containsText" dxfId="4" stopIfTrue="1" text="2">
      <formula>NOT(ISERROR(SEARCH("2",K21)))</formula>
    </cfRule>
    <cfRule type="containsText" priority="16" operator="containsText" dxfId="3" stopIfTrue="1" text="3">
      <formula>NOT(ISERROR(SEARCH("3",K21)))</formula>
    </cfRule>
    <cfRule type="containsText" priority="17" operator="containsText" dxfId="2" stopIfTrue="1" text="4">
      <formula>NOT(ISERROR(SEARCH("4",K21)))</formula>
    </cfRule>
    <cfRule type="containsText" priority="18" operator="containsText" dxfId="1" stopIfTrue="1" text="5">
      <formula>NOT(ISERROR(SEARCH("5",K21)))</formula>
    </cfRule>
  </conditionalFormatting>
  <conditionalFormatting sqref="K18:L18">
    <cfRule type="containsText" priority="7" operator="containsText" dxfId="6" stopIfTrue="1" text="0">
      <formula>NOT(ISERROR(SEARCH("0",K18)))</formula>
    </cfRule>
    <cfRule type="containsText" priority="8" operator="containsText" dxfId="5" stopIfTrue="1" text="1">
      <formula>NOT(ISERROR(SEARCH("1",K18)))</formula>
    </cfRule>
    <cfRule type="containsText" priority="9" operator="containsText" dxfId="4" stopIfTrue="1" text="2">
      <formula>NOT(ISERROR(SEARCH("2",K18)))</formula>
    </cfRule>
    <cfRule type="containsText" priority="10" operator="containsText" dxfId="3" stopIfTrue="1" text="3">
      <formula>NOT(ISERROR(SEARCH("3",K18)))</formula>
    </cfRule>
    <cfRule type="containsText" priority="11" operator="containsText" dxfId="2" stopIfTrue="1" text="4">
      <formula>NOT(ISERROR(SEARCH("4",K18)))</formula>
    </cfRule>
    <cfRule type="containsText" priority="12" operator="containsText" dxfId="1" stopIfTrue="1" text="5">
      <formula>NOT(ISERROR(SEARCH("5",K18)))</formula>
    </cfRule>
  </conditionalFormatting>
  <conditionalFormatting sqref="K19:L19">
    <cfRule type="containsText" priority="1" operator="containsText" dxfId="6" stopIfTrue="1" text="0">
      <formula>NOT(ISERROR(SEARCH("0",K19)))</formula>
    </cfRule>
    <cfRule type="containsText" priority="2" operator="containsText" dxfId="5" stopIfTrue="1" text="1">
      <formula>NOT(ISERROR(SEARCH("1",K19)))</formula>
    </cfRule>
    <cfRule type="containsText" priority="3" operator="containsText" dxfId="4" stopIfTrue="1" text="2">
      <formula>NOT(ISERROR(SEARCH("2",K19)))</formula>
    </cfRule>
    <cfRule type="containsText" priority="4" operator="containsText" dxfId="3" stopIfTrue="1" text="3">
      <formula>NOT(ISERROR(SEARCH("3",K19)))</formula>
    </cfRule>
    <cfRule type="containsText" priority="5" operator="containsText" dxfId="2" stopIfTrue="1" text="4">
      <formula>NOT(ISERROR(SEARCH("4",K19)))</formula>
    </cfRule>
    <cfRule type="containsText" priority="6" operator="containsText" dxfId="1" stopIfTrue="1" text="5">
      <formula>NOT(ISERROR(SEARCH("5",K19)))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4.xml><?xml version="1.0" encoding="utf-8"?>
<worksheet xmlns:r="http://schemas.openxmlformats.org/officeDocument/2006/relationships" xmlns="http://schemas.openxmlformats.org/spreadsheetml/2006/main">
  <sheetPr codeName="Sheet15">
    <outlinePr summaryBelow="1" summaryRight="1"/>
    <pageSetUpPr fitToPage="1"/>
  </sheetPr>
  <dimension ref="A1:Y45"/>
  <sheetViews>
    <sheetView zoomScaleNormal="100" workbookViewId="0">
      <selection activeCell="Q9" sqref="Q9:S2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#8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>
        <f>'Well Data'!$F$45-V9</f>
        <v/>
      </c>
      <c r="V9" s="153" t="n"/>
      <c r="W9" s="147" t="n"/>
    </row>
    <row r="10">
      <c r="A10" s="129" t="n"/>
      <c r="B10" s="284" t="n"/>
      <c r="C10" s="534" t="n"/>
      <c r="D10" s="535" t="n"/>
      <c r="E10" s="555" t="n"/>
      <c r="F10" s="536" t="n"/>
      <c r="G10" s="536" t="n"/>
      <c r="H10" s="536" t="n"/>
      <c r="I10" s="536" t="n"/>
      <c r="J10" s="541" t="n"/>
      <c r="K10" s="384" t="n"/>
      <c r="L10" s="537" t="n"/>
      <c r="N10" s="133" t="n"/>
      <c r="Q10" s="284" t="n"/>
      <c r="R10" s="284" t="n"/>
      <c r="S10" s="285" t="n"/>
      <c r="T10" s="152" t="n"/>
      <c r="U10" s="284">
        <f>'Well Data'!$F$45-V10</f>
        <v/>
      </c>
      <c r="V10" s="153" t="n"/>
      <c r="W10" s="147" t="n"/>
    </row>
    <row r="11">
      <c r="A11" s="129" t="n"/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 t="n"/>
      <c r="S11" s="285" t="n"/>
      <c r="T11" s="152" t="n"/>
      <c r="U11" s="284">
        <f>'Well Data'!$F$45-V11</f>
        <v/>
      </c>
      <c r="V11" s="153" t="n"/>
      <c r="W11" s="147" t="n"/>
    </row>
    <row r="12">
      <c r="A12" s="129" t="n"/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 t="n"/>
      <c r="S12" s="285" t="n"/>
      <c r="T12" s="152" t="n"/>
      <c r="U12" s="284">
        <f>'Well Data'!$F$45-V12</f>
        <v/>
      </c>
      <c r="V12" s="153" t="n"/>
      <c r="W12" s="147" t="n"/>
    </row>
    <row r="13">
      <c r="A13" s="129" t="n"/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 t="n"/>
      <c r="S13" s="285" t="n"/>
      <c r="T13" s="152" t="n"/>
      <c r="U13" s="284">
        <f>'Well Data'!$F$45-V13</f>
        <v/>
      </c>
      <c r="V13" s="153" t="n"/>
      <c r="W13" s="147" t="n"/>
    </row>
    <row r="14">
      <c r="A14" s="129" t="n"/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>
        <f>'Well Data'!$F$45-V14</f>
        <v/>
      </c>
      <c r="V14" s="153" t="n"/>
      <c r="W14" s="148" t="n"/>
    </row>
    <row r="15">
      <c r="A15" s="129" t="n"/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 t="n"/>
      <c r="S15" s="285" t="n"/>
      <c r="T15" s="152" t="n"/>
      <c r="U15" s="284">
        <f>'Well Data'!$F$45-V15</f>
        <v/>
      </c>
      <c r="V15" s="153" t="n"/>
      <c r="W15" s="147" t="n"/>
    </row>
    <row r="16">
      <c r="A16" s="129" t="n"/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>
        <f>'Well Data'!$F$45-V16</f>
        <v/>
      </c>
      <c r="V16" s="153" t="n"/>
      <c r="W16" s="147" t="n"/>
    </row>
    <row r="17">
      <c r="A17" s="129" t="n"/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>
        <f>'Well Data'!$F$45-V17</f>
        <v/>
      </c>
      <c r="V17" s="153" t="n"/>
      <c r="W17" s="147" t="n"/>
    </row>
    <row r="18">
      <c r="A18" s="129" t="n"/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>
        <f>'Well Data'!$F$45-V18</f>
        <v/>
      </c>
      <c r="V18" s="153" t="n"/>
      <c r="W18" s="147" t="n"/>
    </row>
    <row r="19">
      <c r="A19" s="129" t="n"/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>
        <f>'Well Data'!$F$45-V19</f>
        <v/>
      </c>
      <c r="V19" s="153" t="n"/>
      <c r="W19" s="147" t="n"/>
    </row>
    <row r="20">
      <c r="A20" s="129" t="n"/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 t="n"/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 t="n"/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 t="n"/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 t="n"/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 t="n"/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 t="n"/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85" operator="containsText" dxfId="6" stopIfTrue="1" text="0">
      <formula>NOT(ISERROR(SEARCH("0",A31)))</formula>
    </cfRule>
    <cfRule type="containsText" priority="86" operator="containsText" dxfId="5" stopIfTrue="1" text="1">
      <formula>NOT(ISERROR(SEARCH("1",A31)))</formula>
    </cfRule>
    <cfRule type="containsText" priority="87" operator="containsText" dxfId="4" stopIfTrue="1" text="2">
      <formula>NOT(ISERROR(SEARCH("2",A31)))</formula>
    </cfRule>
    <cfRule type="containsText" priority="88" operator="containsText" dxfId="3" stopIfTrue="1" text="3">
      <formula>NOT(ISERROR(SEARCH("3",A31)))</formula>
    </cfRule>
    <cfRule type="containsText" priority="89" operator="containsText" dxfId="2" stopIfTrue="1" text="4">
      <formula>NOT(ISERROR(SEARCH("4",A31)))</formula>
    </cfRule>
    <cfRule type="containsText" priority="90" operator="containsText" dxfId="1" stopIfTrue="1" text="5">
      <formula>NOT(ISERROR(SEARCH("5",A31)))</formula>
    </cfRule>
  </conditionalFormatting>
  <conditionalFormatting sqref="K10:L10">
    <cfRule type="containsText" priority="43" operator="containsText" dxfId="6" stopIfTrue="1" text="0">
      <formula>NOT(ISERROR(SEARCH("0",K10)))</formula>
    </cfRule>
    <cfRule type="containsText" priority="44" operator="containsText" dxfId="5" stopIfTrue="1" text="1">
      <formula>NOT(ISERROR(SEARCH("1",K10)))</formula>
    </cfRule>
    <cfRule type="containsText" priority="45" operator="containsText" dxfId="4" stopIfTrue="1" text="2">
      <formula>NOT(ISERROR(SEARCH("2",K10)))</formula>
    </cfRule>
    <cfRule type="containsText" priority="46" operator="containsText" dxfId="3" stopIfTrue="1" text="3">
      <formula>NOT(ISERROR(SEARCH("3",K10)))</formula>
    </cfRule>
    <cfRule type="containsText" priority="47" operator="containsText" dxfId="2" stopIfTrue="1" text="4">
      <formula>NOT(ISERROR(SEARCH("4",K10)))</formula>
    </cfRule>
    <cfRule type="containsText" priority="48" operator="containsText" dxfId="1" stopIfTrue="1" text="5">
      <formula>NOT(ISERROR(SEARCH("5",K10)))</formula>
    </cfRule>
  </conditionalFormatting>
  <conditionalFormatting sqref="K28:L28">
    <cfRule type="containsText" priority="73" operator="containsText" dxfId="6" stopIfTrue="1" text="0">
      <formula>NOT(ISERROR(SEARCH("0",K28)))</formula>
    </cfRule>
    <cfRule type="containsText" priority="74" operator="containsText" dxfId="5" stopIfTrue="1" text="1">
      <formula>NOT(ISERROR(SEARCH("1",K28)))</formula>
    </cfRule>
    <cfRule type="containsText" priority="75" operator="containsText" dxfId="4" stopIfTrue="1" text="2">
      <formula>NOT(ISERROR(SEARCH("2",K28)))</formula>
    </cfRule>
    <cfRule type="containsText" priority="76" operator="containsText" dxfId="3" stopIfTrue="1" text="3">
      <formula>NOT(ISERROR(SEARCH("3",K28)))</formula>
    </cfRule>
    <cfRule type="containsText" priority="77" operator="containsText" dxfId="2" stopIfTrue="1" text="4">
      <formula>NOT(ISERROR(SEARCH("4",K28)))</formula>
    </cfRule>
    <cfRule type="containsText" priority="78" operator="containsText" dxfId="1" stopIfTrue="1" text="5">
      <formula>NOT(ISERROR(SEARCH("5",K28)))</formula>
    </cfRule>
  </conditionalFormatting>
  <conditionalFormatting sqref="K29:L29">
    <cfRule type="containsText" priority="79" operator="containsText" dxfId="6" stopIfTrue="1" text="0">
      <formula>NOT(ISERROR(SEARCH("0",K29)))</formula>
    </cfRule>
    <cfRule type="containsText" priority="80" operator="containsText" dxfId="5" stopIfTrue="1" text="1">
      <formula>NOT(ISERROR(SEARCH("1",K29)))</formula>
    </cfRule>
    <cfRule type="containsText" priority="81" operator="containsText" dxfId="4" stopIfTrue="1" text="2">
      <formula>NOT(ISERROR(SEARCH("2",K29)))</formula>
    </cfRule>
    <cfRule type="containsText" priority="82" operator="containsText" dxfId="3" stopIfTrue="1" text="3">
      <formula>NOT(ISERROR(SEARCH("3",K29)))</formula>
    </cfRule>
    <cfRule type="containsText" priority="83" operator="containsText" dxfId="2" stopIfTrue="1" text="4">
      <formula>NOT(ISERROR(SEARCH("4",K29)))</formula>
    </cfRule>
    <cfRule type="containsText" priority="84" operator="containsText" dxfId="1" stopIfTrue="1" text="5">
      <formula>NOT(ISERROR(SEARCH("5",K29)))</formula>
    </cfRule>
  </conditionalFormatting>
  <conditionalFormatting sqref="K18:L19">
    <cfRule type="containsText" priority="61" operator="containsText" dxfId="6" stopIfTrue="1" text="0">
      <formula>NOT(ISERROR(SEARCH("0",K18)))</formula>
    </cfRule>
    <cfRule type="containsText" priority="62" operator="containsText" dxfId="5" stopIfTrue="1" text="1">
      <formula>NOT(ISERROR(SEARCH("1",K18)))</formula>
    </cfRule>
    <cfRule type="containsText" priority="63" operator="containsText" dxfId="4" stopIfTrue="1" text="2">
      <formula>NOT(ISERROR(SEARCH("2",K18)))</formula>
    </cfRule>
    <cfRule type="containsText" priority="64" operator="containsText" dxfId="3" stopIfTrue="1" text="3">
      <formula>NOT(ISERROR(SEARCH("3",K18)))</formula>
    </cfRule>
    <cfRule type="containsText" priority="65" operator="containsText" dxfId="2" stopIfTrue="1" text="4">
      <formula>NOT(ISERROR(SEARCH("4",K18)))</formula>
    </cfRule>
    <cfRule type="containsText" priority="66" operator="containsText" dxfId="1" stopIfTrue="1" text="5">
      <formula>NOT(ISERROR(SEARCH("5",K18)))</formula>
    </cfRule>
  </conditionalFormatting>
  <conditionalFormatting sqref="K21:L24">
    <cfRule type="containsText" priority="55" operator="containsText" dxfId="6" stopIfTrue="1" text="0">
      <formula>NOT(ISERROR(SEARCH("0",K21)))</formula>
    </cfRule>
    <cfRule type="containsText" priority="56" operator="containsText" dxfId="5" stopIfTrue="1" text="1">
      <formula>NOT(ISERROR(SEARCH("1",K21)))</formula>
    </cfRule>
    <cfRule type="containsText" priority="57" operator="containsText" dxfId="4" stopIfTrue="1" text="2">
      <formula>NOT(ISERROR(SEARCH("2",K21)))</formula>
    </cfRule>
    <cfRule type="containsText" priority="58" operator="containsText" dxfId="3" stopIfTrue="1" text="3">
      <formula>NOT(ISERROR(SEARCH("3",K21)))</formula>
    </cfRule>
    <cfRule type="containsText" priority="59" operator="containsText" dxfId="2" stopIfTrue="1" text="4">
      <formula>NOT(ISERROR(SEARCH("4",K21)))</formula>
    </cfRule>
    <cfRule type="containsText" priority="60" operator="containsText" dxfId="1" stopIfTrue="1" text="5">
      <formula>NOT(ISERROR(SEARCH("5",K21)))</formula>
    </cfRule>
  </conditionalFormatting>
  <conditionalFormatting sqref="K27 K25:L26">
    <cfRule type="containsText" priority="31" operator="containsText" dxfId="6" stopIfTrue="1" text="0">
      <formula>NOT(ISERROR(SEARCH("0",K25)))</formula>
    </cfRule>
    <cfRule type="containsText" priority="32" operator="containsText" dxfId="5" stopIfTrue="1" text="1">
      <formula>NOT(ISERROR(SEARCH("1",K25)))</formula>
    </cfRule>
    <cfRule type="containsText" priority="33" operator="containsText" dxfId="4" stopIfTrue="1" text="2">
      <formula>NOT(ISERROR(SEARCH("2",K25)))</formula>
    </cfRule>
    <cfRule type="containsText" priority="34" operator="containsText" dxfId="3" stopIfTrue="1" text="3">
      <formula>NOT(ISERROR(SEARCH("3",K25)))</formula>
    </cfRule>
    <cfRule type="containsText" priority="35" operator="containsText" dxfId="2" stopIfTrue="1" text="4">
      <formula>NOT(ISERROR(SEARCH("4",K25)))</formula>
    </cfRule>
    <cfRule type="containsText" priority="36" operator="containsText" dxfId="1" stopIfTrue="1" text="5">
      <formula>NOT(ISERROR(SEARCH("5",K25)))</formula>
    </cfRule>
  </conditionalFormatting>
  <conditionalFormatting sqref="K20:L20">
    <cfRule type="containsText" priority="67" operator="containsText" dxfId="6" stopIfTrue="1" text="0">
      <formula>NOT(ISERROR(SEARCH("0",K20)))</formula>
    </cfRule>
    <cfRule type="containsText" priority="68" operator="containsText" dxfId="5" stopIfTrue="1" text="1">
      <formula>NOT(ISERROR(SEARCH("1",K20)))</formula>
    </cfRule>
    <cfRule type="containsText" priority="69" operator="containsText" dxfId="4" stopIfTrue="1" text="2">
      <formula>NOT(ISERROR(SEARCH("2",K20)))</formula>
    </cfRule>
    <cfRule type="containsText" priority="70" operator="containsText" dxfId="3" stopIfTrue="1" text="3">
      <formula>NOT(ISERROR(SEARCH("3",K20)))</formula>
    </cfRule>
    <cfRule type="containsText" priority="71" operator="containsText" dxfId="2" stopIfTrue="1" text="4">
      <formula>NOT(ISERROR(SEARCH("4",K20)))</formula>
    </cfRule>
    <cfRule type="containsText" priority="72" operator="containsText" dxfId="1" stopIfTrue="1" text="5">
      <formula>NOT(ISERROR(SEARCH("5",K20)))</formula>
    </cfRule>
  </conditionalFormatting>
  <conditionalFormatting sqref="K12:L12 K16:L17">
    <cfRule type="containsText" priority="37" operator="containsText" dxfId="6" stopIfTrue="1" text="0">
      <formula>NOT(ISERROR(SEARCH("0",K12)))</formula>
    </cfRule>
    <cfRule type="containsText" priority="38" operator="containsText" dxfId="5" stopIfTrue="1" text="1">
      <formula>NOT(ISERROR(SEARCH("1",K12)))</formula>
    </cfRule>
    <cfRule type="containsText" priority="39" operator="containsText" dxfId="4" stopIfTrue="1" text="2">
      <formula>NOT(ISERROR(SEARCH("2",K12)))</formula>
    </cfRule>
    <cfRule type="containsText" priority="40" operator="containsText" dxfId="3" stopIfTrue="1" text="3">
      <formula>NOT(ISERROR(SEARCH("3",K12)))</formula>
    </cfRule>
    <cfRule type="containsText" priority="41" operator="containsText" dxfId="2" stopIfTrue="1" text="4">
      <formula>NOT(ISERROR(SEARCH("4",K12)))</formula>
    </cfRule>
    <cfRule type="containsText" priority="42" operator="containsText" dxfId="1" stopIfTrue="1" text="5">
      <formula>NOT(ISERROR(SEARCH("5",K12)))</formula>
    </cfRule>
  </conditionalFormatting>
  <conditionalFormatting sqref="K9:L9">
    <cfRule type="containsText" priority="25" operator="containsText" dxfId="6" stopIfTrue="1" text="0">
      <formula>NOT(ISERROR(SEARCH("0",K9)))</formula>
    </cfRule>
    <cfRule type="containsText" priority="26" operator="containsText" dxfId="5" stopIfTrue="1" text="1">
      <formula>NOT(ISERROR(SEARCH("1",K9)))</formula>
    </cfRule>
    <cfRule type="containsText" priority="27" operator="containsText" dxfId="4" stopIfTrue="1" text="2">
      <formula>NOT(ISERROR(SEARCH("2",K9)))</formula>
    </cfRule>
    <cfRule type="containsText" priority="28" operator="containsText" dxfId="3" stopIfTrue="1" text="3">
      <formula>NOT(ISERROR(SEARCH("3",K9)))</formula>
    </cfRule>
    <cfRule type="containsText" priority="29" operator="containsText" dxfId="2" stopIfTrue="1" text="4">
      <formula>NOT(ISERROR(SEARCH("4",K9)))</formula>
    </cfRule>
    <cfRule type="containsText" priority="30" operator="containsText" dxfId="1" stopIfTrue="1" text="5">
      <formula>NOT(ISERROR(SEARCH("5",K9)))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13:L13">
    <cfRule type="containsText" priority="13" operator="containsText" dxfId="6" stopIfTrue="1" text="0">
      <formula>NOT(ISERROR(SEARCH("0",K13)))</formula>
    </cfRule>
    <cfRule type="containsText" priority="14" operator="containsText" dxfId="5" stopIfTrue="1" text="1">
      <formula>NOT(ISERROR(SEARCH("1",K13)))</formula>
    </cfRule>
    <cfRule type="containsText" priority="15" operator="containsText" dxfId="4" stopIfTrue="1" text="2">
      <formula>NOT(ISERROR(SEARCH("2",K13)))</formula>
    </cfRule>
    <cfRule type="containsText" priority="16" operator="containsText" dxfId="3" stopIfTrue="1" text="3">
      <formula>NOT(ISERROR(SEARCH("3",K13)))</formula>
    </cfRule>
    <cfRule type="containsText" priority="17" operator="containsText" dxfId="2" stopIfTrue="1" text="4">
      <formula>NOT(ISERROR(SEARCH("4",K13)))</formula>
    </cfRule>
    <cfRule type="containsText" priority="18" operator="containsText" dxfId="1" stopIfTrue="1" text="5">
      <formula>NOT(ISERROR(SEARCH("5",K13)))</formula>
    </cfRule>
  </conditionalFormatting>
  <conditionalFormatting sqref="K14:L14">
    <cfRule type="containsText" priority="7" operator="containsText" dxfId="6" stopIfTrue="1" text="0">
      <formula>NOT(ISERROR(SEARCH("0",K14)))</formula>
    </cfRule>
    <cfRule type="containsText" priority="8" operator="containsText" dxfId="5" stopIfTrue="1" text="1">
      <formula>NOT(ISERROR(SEARCH("1",K14)))</formula>
    </cfRule>
    <cfRule type="containsText" priority="9" operator="containsText" dxfId="4" stopIfTrue="1" text="2">
      <formula>NOT(ISERROR(SEARCH("2",K14)))</formula>
    </cfRule>
    <cfRule type="containsText" priority="10" operator="containsText" dxfId="3" stopIfTrue="1" text="3">
      <formula>NOT(ISERROR(SEARCH("3",K14)))</formula>
    </cfRule>
    <cfRule type="containsText" priority="11" operator="containsText" dxfId="2" stopIfTrue="1" text="4">
      <formula>NOT(ISERROR(SEARCH("4",K14)))</formula>
    </cfRule>
    <cfRule type="containsText" priority="12" operator="containsText" dxfId="1" stopIfTrue="1" text="5">
      <formula>NOT(ISERROR(SEARCH("5",K14)))</formula>
    </cfRule>
  </conditionalFormatting>
  <conditionalFormatting sqref="K15:L15">
    <cfRule type="containsText" priority="1" operator="containsText" dxfId="6" stopIfTrue="1" text="0">
      <formula>NOT(ISERROR(SEARCH("0",K15)))</formula>
    </cfRule>
    <cfRule type="containsText" priority="2" operator="containsText" dxfId="5" stopIfTrue="1" text="1">
      <formula>NOT(ISERROR(SEARCH("1",K15)))</formula>
    </cfRule>
    <cfRule type="containsText" priority="3" operator="containsText" dxfId="4" stopIfTrue="1" text="2">
      <formula>NOT(ISERROR(SEARCH("2",K15)))</formula>
    </cfRule>
    <cfRule type="containsText" priority="4" operator="containsText" dxfId="3" stopIfTrue="1" text="3">
      <formula>NOT(ISERROR(SEARCH("3",K15)))</formula>
    </cfRule>
    <cfRule type="containsText" priority="5" operator="containsText" dxfId="2" stopIfTrue="1" text="4">
      <formula>NOT(ISERROR(SEARCH("4",K15)))</formula>
    </cfRule>
    <cfRule type="containsText" priority="6" operator="containsText" dxfId="1" stopIfTrue="1" text="5">
      <formula>NOT(ISERROR(SEARCH("5",K15)))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5.xml><?xml version="1.0" encoding="utf-8"?>
<worksheet xmlns:r="http://schemas.openxmlformats.org/officeDocument/2006/relationships" xmlns="http://schemas.openxmlformats.org/spreadsheetml/2006/main">
  <sheetPr codeName="Sheet16">
    <outlinePr summaryBelow="1" summaryRight="1"/>
    <pageSetUpPr fitToPage="1"/>
  </sheetPr>
  <dimension ref="A1:Y45"/>
  <sheetViews>
    <sheetView zoomScaleNormal="100" workbookViewId="0">
      <selection activeCell="A10" sqref="A10:A2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#9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>
        <f>'Well Data'!$F$45-S9</f>
        <v/>
      </c>
      <c r="S9" s="154" t="n"/>
      <c r="T9" s="152" t="n"/>
      <c r="U9" s="284">
        <f>'Well Data'!$F$45-V9</f>
        <v/>
      </c>
      <c r="V9" s="153" t="n"/>
      <c r="W9" s="147" t="n"/>
    </row>
    <row r="10">
      <c r="A10" s="129">
        <f>IF(B9=0, "", B9)</f>
        <v/>
      </c>
      <c r="B10" s="284" t="n"/>
      <c r="C10" s="534" t="n"/>
      <c r="D10" s="535" t="n"/>
      <c r="E10" s="42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>
        <f>'Well Data'!$F$45-S10</f>
        <v/>
      </c>
      <c r="S10" s="154" t="n"/>
      <c r="T10" s="152" t="n"/>
      <c r="U10" s="284">
        <f>'Well Data'!$F$45-V10</f>
        <v/>
      </c>
      <c r="V10" s="153" t="n"/>
      <c r="W10" s="147" t="n"/>
    </row>
    <row r="11">
      <c r="A11" s="129">
        <f>IF(B10=0, "", B10)</f>
        <v/>
      </c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>
        <f>'Well Data'!$F$45-S11</f>
        <v/>
      </c>
      <c r="S11" s="154" t="n"/>
      <c r="T11" s="152" t="n"/>
      <c r="U11" s="284">
        <f>'Well Data'!$F$45-V11</f>
        <v/>
      </c>
      <c r="V11" s="153" t="n"/>
      <c r="W11" s="147" t="n"/>
    </row>
    <row r="12">
      <c r="A12" s="129">
        <f>IF(B11=0, "", B11)</f>
        <v/>
      </c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>
        <f>'Well Data'!$F$45-S12</f>
        <v/>
      </c>
      <c r="S12" s="154" t="n"/>
      <c r="T12" s="152" t="n"/>
      <c r="U12" s="284">
        <f>'Well Data'!$F$45-V12</f>
        <v/>
      </c>
      <c r="V12" s="153" t="n"/>
      <c r="W12" s="147" t="n"/>
    </row>
    <row r="13">
      <c r="A13" s="129">
        <f>IF(B12=0, "", B12)</f>
        <v/>
      </c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>
        <f>'Well Data'!$F$45-S13</f>
        <v/>
      </c>
      <c r="S13" s="154" t="n"/>
      <c r="T13" s="152" t="n"/>
      <c r="U13" s="284">
        <f>'Well Data'!$F$45-V13</f>
        <v/>
      </c>
      <c r="V13" s="153" t="n"/>
      <c r="W13" s="147" t="n"/>
    </row>
    <row r="14">
      <c r="A14" s="129">
        <f>IF(B13=0, "", B13)</f>
        <v/>
      </c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>
        <f>'Well Data'!$F$45-S14</f>
        <v/>
      </c>
      <c r="S14" s="154" t="n"/>
      <c r="T14" s="152" t="n"/>
      <c r="U14" s="284">
        <f>'Well Data'!$F$45-V14</f>
        <v/>
      </c>
      <c r="V14" s="153" t="n"/>
      <c r="W14" s="148" t="n"/>
    </row>
    <row r="15">
      <c r="A15" s="129">
        <f>IF(B14=0, "", B14)</f>
        <v/>
      </c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>
        <f>'Well Data'!$F$45-S15</f>
        <v/>
      </c>
      <c r="S15" s="154" t="n"/>
      <c r="T15" s="152" t="n"/>
      <c r="U15" s="284">
        <f>'Well Data'!$F$45-V15</f>
        <v/>
      </c>
      <c r="V15" s="153" t="n"/>
      <c r="W15" s="147" t="n"/>
    </row>
    <row r="16">
      <c r="A16" s="129">
        <f>IF(B15=0, "", B15)</f>
        <v/>
      </c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>
        <f>'Well Data'!$F$45-S16</f>
        <v/>
      </c>
      <c r="S16" s="154" t="n"/>
      <c r="T16" s="152" t="n"/>
      <c r="U16" s="284">
        <f>'Well Data'!$F$45-V16</f>
        <v/>
      </c>
      <c r="V16" s="153" t="n"/>
      <c r="W16" s="147" t="n"/>
    </row>
    <row r="17">
      <c r="A17" s="129">
        <f>IF(B16=0, "", B16)</f>
        <v/>
      </c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>
        <f>'Well Data'!$F$45-S17</f>
        <v/>
      </c>
      <c r="S17" s="154" t="n"/>
      <c r="T17" s="152" t="n"/>
      <c r="U17" s="284">
        <f>'Well Data'!$F$45-V17</f>
        <v/>
      </c>
      <c r="V17" s="153" t="n"/>
      <c r="W17" s="147" t="n"/>
    </row>
    <row r="18">
      <c r="A18" s="129">
        <f>IF(B17=0, "", B17)</f>
        <v/>
      </c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>
        <f>'Well Data'!$F$45-S18</f>
        <v/>
      </c>
      <c r="S18" s="154" t="n"/>
      <c r="T18" s="152" t="n"/>
      <c r="U18" s="284">
        <f>'Well Data'!$F$45-V18</f>
        <v/>
      </c>
      <c r="V18" s="153" t="n"/>
      <c r="W18" s="147" t="n"/>
    </row>
    <row r="19">
      <c r="A19" s="129">
        <f>IF(B18=0, "", B18)</f>
        <v/>
      </c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>
        <f>'Well Data'!$F$45-S19</f>
        <v/>
      </c>
      <c r="S19" s="154" t="n"/>
      <c r="T19" s="152" t="n"/>
      <c r="U19" s="284">
        <f>'Well Data'!$F$45-V19</f>
        <v/>
      </c>
      <c r="V19" s="153" t="n"/>
      <c r="W19" s="147" t="n"/>
    </row>
    <row r="20">
      <c r="A20" s="129">
        <f>IF(B19=0, "", B19)</f>
        <v/>
      </c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>
        <f>'Well Data'!$F$45-S20</f>
        <v/>
      </c>
      <c r="S20" s="154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>
        <f>'Well Data'!$F$45-S21</f>
        <v/>
      </c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>
        <f>'Well Data'!$F$45-S22</f>
        <v/>
      </c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>
        <f>'Well Data'!$F$45-S23</f>
        <v/>
      </c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>
        <f>'Well Data'!$F$45-S24</f>
        <v/>
      </c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>
        <f>'Well Data'!$F$45-S25</f>
        <v/>
      </c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>
        <f>'Well Data'!$F$45-S26</f>
        <v/>
      </c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>
        <f>'Well Data'!$F$45-S27</f>
        <v/>
      </c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>
        <f>'Well Data'!$F$45-S28</f>
        <v/>
      </c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>
        <f>'Well Data'!$F$45-S29</f>
        <v/>
      </c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55" operator="containsText" dxfId="6" stopIfTrue="1" text="0">
      <formula>NOT(ISERROR(SEARCH("0",A31)))</formula>
    </cfRule>
    <cfRule type="containsText" priority="56" operator="containsText" dxfId="5" stopIfTrue="1" text="1">
      <formula>NOT(ISERROR(SEARCH("1",A31)))</formula>
    </cfRule>
    <cfRule type="containsText" priority="57" operator="containsText" dxfId="4" stopIfTrue="1" text="2">
      <formula>NOT(ISERROR(SEARCH("2",A31)))</formula>
    </cfRule>
    <cfRule type="containsText" priority="58" operator="containsText" dxfId="3" stopIfTrue="1" text="3">
      <formula>NOT(ISERROR(SEARCH("3",A31)))</formula>
    </cfRule>
    <cfRule type="containsText" priority="59" operator="containsText" dxfId="2" stopIfTrue="1" text="4">
      <formula>NOT(ISERROR(SEARCH("4",A31)))</formula>
    </cfRule>
    <cfRule type="containsText" priority="60" operator="containsText" dxfId="1" stopIfTrue="1" text="5">
      <formula>NOT(ISERROR(SEARCH("5",A31)))</formula>
    </cfRule>
  </conditionalFormatting>
  <conditionalFormatting sqref="K9:L10">
    <cfRule type="containsText" priority="13" operator="containsText" dxfId="6" stopIfTrue="1" text="0">
      <formula>NOT(ISERROR(SEARCH("0",K9)))</formula>
    </cfRule>
    <cfRule type="containsText" priority="14" operator="containsText" dxfId="5" stopIfTrue="1" text="1">
      <formula>NOT(ISERROR(SEARCH("1",K9)))</formula>
    </cfRule>
    <cfRule type="containsText" priority="15" operator="containsText" dxfId="4" stopIfTrue="1" text="2">
      <formula>NOT(ISERROR(SEARCH("2",K9)))</formula>
    </cfRule>
    <cfRule type="containsText" priority="16" operator="containsText" dxfId="3" stopIfTrue="1" text="3">
      <formula>NOT(ISERROR(SEARCH("3",K9)))</formula>
    </cfRule>
    <cfRule type="containsText" priority="17" operator="containsText" dxfId="2" stopIfTrue="1" text="4">
      <formula>NOT(ISERROR(SEARCH("4",K9)))</formula>
    </cfRule>
    <cfRule type="containsText" priority="18" operator="containsText" dxfId="1" stopIfTrue="1" text="5">
      <formula>NOT(ISERROR(SEARCH("5",K9)))</formula>
    </cfRule>
  </conditionalFormatting>
  <conditionalFormatting sqref="K28:L28">
    <cfRule type="containsText" priority="43" operator="containsText" dxfId="6" stopIfTrue="1" text="0">
      <formula>NOT(ISERROR(SEARCH("0",K28)))</formula>
    </cfRule>
    <cfRule type="containsText" priority="44" operator="containsText" dxfId="5" stopIfTrue="1" text="1">
      <formula>NOT(ISERROR(SEARCH("1",K28)))</formula>
    </cfRule>
    <cfRule type="containsText" priority="45" operator="containsText" dxfId="4" stopIfTrue="1" text="2">
      <formula>NOT(ISERROR(SEARCH("2",K28)))</formula>
    </cfRule>
    <cfRule type="containsText" priority="46" operator="containsText" dxfId="3" stopIfTrue="1" text="3">
      <formula>NOT(ISERROR(SEARCH("3",K28)))</formula>
    </cfRule>
    <cfRule type="containsText" priority="47" operator="containsText" dxfId="2" stopIfTrue="1" text="4">
      <formula>NOT(ISERROR(SEARCH("4",K28)))</formula>
    </cfRule>
    <cfRule type="containsText" priority="48" operator="containsText" dxfId="1" stopIfTrue="1" text="5">
      <formula>NOT(ISERROR(SEARCH("5",K28)))</formula>
    </cfRule>
  </conditionalFormatting>
  <conditionalFormatting sqref="K29:L29">
    <cfRule type="containsText" priority="49" operator="containsText" dxfId="6" stopIfTrue="1" text="0">
      <formula>NOT(ISERROR(SEARCH("0",K29)))</formula>
    </cfRule>
    <cfRule type="containsText" priority="50" operator="containsText" dxfId="5" stopIfTrue="1" text="1">
      <formula>NOT(ISERROR(SEARCH("1",K29)))</formula>
    </cfRule>
    <cfRule type="containsText" priority="51" operator="containsText" dxfId="4" stopIfTrue="1" text="2">
      <formula>NOT(ISERROR(SEARCH("2",K29)))</formula>
    </cfRule>
    <cfRule type="containsText" priority="52" operator="containsText" dxfId="3" stopIfTrue="1" text="3">
      <formula>NOT(ISERROR(SEARCH("3",K29)))</formula>
    </cfRule>
    <cfRule type="containsText" priority="53" operator="containsText" dxfId="2" stopIfTrue="1" text="4">
      <formula>NOT(ISERROR(SEARCH("4",K29)))</formula>
    </cfRule>
    <cfRule type="containsText" priority="54" operator="containsText" dxfId="1" stopIfTrue="1" text="5">
      <formula>NOT(ISERROR(SEARCH("5",K29)))</formula>
    </cfRule>
  </conditionalFormatting>
  <conditionalFormatting sqref="K18:L19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21:L24">
    <cfRule type="containsText" priority="25" operator="containsText" dxfId="6" stopIfTrue="1" text="0">
      <formula>NOT(ISERROR(SEARCH("0",K21)))</formula>
    </cfRule>
    <cfRule type="containsText" priority="26" operator="containsText" dxfId="5" stopIfTrue="1" text="1">
      <formula>NOT(ISERROR(SEARCH("1",K21)))</formula>
    </cfRule>
    <cfRule type="containsText" priority="27" operator="containsText" dxfId="4" stopIfTrue="1" text="2">
      <formula>NOT(ISERROR(SEARCH("2",K21)))</formula>
    </cfRule>
    <cfRule type="containsText" priority="28" operator="containsText" dxfId="3" stopIfTrue="1" text="3">
      <formula>NOT(ISERROR(SEARCH("3",K21)))</formula>
    </cfRule>
    <cfRule type="containsText" priority="29" operator="containsText" dxfId="2" stopIfTrue="1" text="4">
      <formula>NOT(ISERROR(SEARCH("4",K21)))</formula>
    </cfRule>
    <cfRule type="containsText" priority="30" operator="containsText" dxfId="1" stopIfTrue="1" text="5">
      <formula>NOT(ISERROR(SEARCH("5",K21)))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27 K25:L26">
    <cfRule type="containsText" priority="1" operator="containsText" dxfId="6" stopIfTrue="1" text="0">
      <formula>NOT(ISERROR(SEARCH("0",K25)))</formula>
    </cfRule>
    <cfRule type="containsText" priority="2" operator="containsText" dxfId="5" stopIfTrue="1" text="1">
      <formula>NOT(ISERROR(SEARCH("1",K25)))</formula>
    </cfRule>
    <cfRule type="containsText" priority="3" operator="containsText" dxfId="4" stopIfTrue="1" text="2">
      <formula>NOT(ISERROR(SEARCH("2",K25)))</formula>
    </cfRule>
    <cfRule type="containsText" priority="4" operator="containsText" dxfId="3" stopIfTrue="1" text="3">
      <formula>NOT(ISERROR(SEARCH("3",K25)))</formula>
    </cfRule>
    <cfRule type="containsText" priority="5" operator="containsText" dxfId="2" stopIfTrue="1" text="4">
      <formula>NOT(ISERROR(SEARCH("4",K25)))</formula>
    </cfRule>
    <cfRule type="containsText" priority="6" operator="containsText" dxfId="1" stopIfTrue="1" text="5">
      <formula>NOT(ISERROR(SEARCH("5",K25)))</formula>
    </cfRule>
  </conditionalFormatting>
  <conditionalFormatting sqref="K20:L20">
    <cfRule type="containsText" priority="37" operator="containsText" dxfId="6" stopIfTrue="1" text="0">
      <formula>NOT(ISERROR(SEARCH("0",K20)))</formula>
    </cfRule>
    <cfRule type="containsText" priority="38" operator="containsText" dxfId="5" stopIfTrue="1" text="1">
      <formula>NOT(ISERROR(SEARCH("1",K20)))</formula>
    </cfRule>
    <cfRule type="containsText" priority="39" operator="containsText" dxfId="4" stopIfTrue="1" text="2">
      <formula>NOT(ISERROR(SEARCH("2",K20)))</formula>
    </cfRule>
    <cfRule type="containsText" priority="40" operator="containsText" dxfId="3" stopIfTrue="1" text="3">
      <formula>NOT(ISERROR(SEARCH("3",K20)))</formula>
    </cfRule>
    <cfRule type="containsText" priority="41" operator="containsText" dxfId="2" stopIfTrue="1" text="4">
      <formula>NOT(ISERROR(SEARCH("4",K20)))</formula>
    </cfRule>
    <cfRule type="containsText" priority="42" operator="containsText" dxfId="1" stopIfTrue="1" text="5">
      <formula>NOT(ISERROR(SEARCH("5",K20)))</formula>
    </cfRule>
  </conditionalFormatting>
  <conditionalFormatting sqref="K12:L17">
    <cfRule type="containsText" priority="7" operator="containsText" dxfId="6" stopIfTrue="1" text="0">
      <formula>NOT(ISERROR(SEARCH("0",K12)))</formula>
    </cfRule>
    <cfRule type="containsText" priority="8" operator="containsText" dxfId="5" stopIfTrue="1" text="1">
      <formula>NOT(ISERROR(SEARCH("1",K12)))</formula>
    </cfRule>
    <cfRule type="containsText" priority="9" operator="containsText" dxfId="4" stopIfTrue="1" text="2">
      <formula>NOT(ISERROR(SEARCH("2",K12)))</formula>
    </cfRule>
    <cfRule type="containsText" priority="10" operator="containsText" dxfId="3" stopIfTrue="1" text="3">
      <formula>NOT(ISERROR(SEARCH("3",K12)))</formula>
    </cfRule>
    <cfRule type="containsText" priority="11" operator="containsText" dxfId="2" stopIfTrue="1" text="4">
      <formula>NOT(ISERROR(SEARCH("4",K12)))</formula>
    </cfRule>
    <cfRule type="containsText" priority="12" operator="containsText" dxfId="1" stopIfTrue="1" text="5">
      <formula>NOT(ISERROR(SEARCH("5",K12)))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6.xml><?xml version="1.0" encoding="utf-8"?>
<worksheet xmlns:r="http://schemas.openxmlformats.org/officeDocument/2006/relationships" xmlns="http://schemas.openxmlformats.org/spreadsheetml/2006/main">
  <sheetPr codeName="Sheet17">
    <outlinePr summaryBelow="1" summaryRight="1"/>
    <pageSetUpPr fitToPage="1"/>
  </sheetPr>
  <dimension ref="A1:Y45"/>
  <sheetViews>
    <sheetView zoomScaleNormal="100" workbookViewId="0">
      <selection activeCell="E19" sqref="E19:J1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#10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>
        <f>'Well Data'!$F$45-S9</f>
        <v/>
      </c>
      <c r="S9" s="154" t="n"/>
      <c r="T9" s="152" t="n"/>
      <c r="U9" s="284">
        <f>'Well Data'!$F$45-V9</f>
        <v/>
      </c>
      <c r="V9" s="153" t="n"/>
      <c r="W9" s="147" t="n"/>
    </row>
    <row r="10">
      <c r="A10" s="129">
        <f>IF(B9=0, "", B9)</f>
        <v/>
      </c>
      <c r="B10" s="284" t="n"/>
      <c r="C10" s="534" t="n"/>
      <c r="D10" s="535" t="n"/>
      <c r="E10" s="42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>
        <f>'Well Data'!$F$45-S10</f>
        <v/>
      </c>
      <c r="S10" s="154" t="n"/>
      <c r="T10" s="152" t="n"/>
      <c r="U10" s="284">
        <f>'Well Data'!$F$45-V10</f>
        <v/>
      </c>
      <c r="V10" s="153" t="n"/>
      <c r="W10" s="147" t="n"/>
    </row>
    <row r="11">
      <c r="A11" s="129">
        <f>IF(B10=0, "", B10)</f>
        <v/>
      </c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>
        <f>'Well Data'!$F$45-S11</f>
        <v/>
      </c>
      <c r="S11" s="154" t="n"/>
      <c r="T11" s="152" t="n"/>
      <c r="U11" s="284">
        <f>'Well Data'!$F$45-V11</f>
        <v/>
      </c>
      <c r="V11" s="153" t="n"/>
      <c r="W11" s="147" t="n"/>
    </row>
    <row r="12">
      <c r="A12" s="129">
        <f>IF(B11=0, "", B11)</f>
        <v/>
      </c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>
        <f>'Well Data'!$F$45-S12</f>
        <v/>
      </c>
      <c r="S12" s="154" t="n"/>
      <c r="T12" s="152" t="n"/>
      <c r="U12" s="284">
        <f>'Well Data'!$F$45-V12</f>
        <v/>
      </c>
      <c r="V12" s="153" t="n"/>
      <c r="W12" s="147" t="n"/>
    </row>
    <row r="13">
      <c r="A13" s="129">
        <f>IF(B12=0, "", B12)</f>
        <v/>
      </c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>
        <f>'Well Data'!$F$45-S13</f>
        <v/>
      </c>
      <c r="S13" s="154" t="n"/>
      <c r="T13" s="152" t="n"/>
      <c r="U13" s="284">
        <f>'Well Data'!$F$45-V13</f>
        <v/>
      </c>
      <c r="V13" s="153" t="n"/>
      <c r="W13" s="147" t="n"/>
    </row>
    <row r="14">
      <c r="A14" s="129">
        <f>IF(B13=0, "", B13)</f>
        <v/>
      </c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>
        <f>'Well Data'!$F$45-S14</f>
        <v/>
      </c>
      <c r="S14" s="154" t="n"/>
      <c r="T14" s="152" t="n"/>
      <c r="U14" s="284">
        <f>'Well Data'!$F$45-V14</f>
        <v/>
      </c>
      <c r="V14" s="153" t="n"/>
      <c r="W14" s="148" t="n"/>
    </row>
    <row r="15">
      <c r="A15" s="129">
        <f>IF(B14=0, "", B14)</f>
        <v/>
      </c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>
        <f>'Well Data'!$F$45-S15</f>
        <v/>
      </c>
      <c r="S15" s="154" t="n"/>
      <c r="T15" s="152" t="n"/>
      <c r="U15" s="284">
        <f>'Well Data'!$F$45-V15</f>
        <v/>
      </c>
      <c r="V15" s="153" t="n"/>
      <c r="W15" s="147" t="n"/>
    </row>
    <row r="16">
      <c r="A16" s="129">
        <f>IF(B15=0, "", B15)</f>
        <v/>
      </c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>
        <f>'Well Data'!$F$45-S16</f>
        <v/>
      </c>
      <c r="S16" s="154" t="n"/>
      <c r="T16" s="152" t="n"/>
      <c r="U16" s="284">
        <f>'Well Data'!$F$45-V16</f>
        <v/>
      </c>
      <c r="V16" s="153" t="n"/>
      <c r="W16" s="147" t="n"/>
    </row>
    <row r="17">
      <c r="A17" s="129">
        <f>IF(B16=0, "", B16)</f>
        <v/>
      </c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>
        <f>'Well Data'!$F$45-S17</f>
        <v/>
      </c>
      <c r="S17" s="154" t="n"/>
      <c r="T17" s="152" t="n"/>
      <c r="U17" s="284">
        <f>'Well Data'!$F$45-V17</f>
        <v/>
      </c>
      <c r="V17" s="153" t="n"/>
      <c r="W17" s="147" t="n"/>
    </row>
    <row r="18">
      <c r="A18" s="129">
        <f>IF(B17=0, "", B17)</f>
        <v/>
      </c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>
        <f>'Well Data'!$F$45-S18</f>
        <v/>
      </c>
      <c r="S18" s="154" t="n"/>
      <c r="T18" s="152" t="n"/>
      <c r="U18" s="284">
        <f>'Well Data'!$F$45-V18</f>
        <v/>
      </c>
      <c r="V18" s="153" t="n"/>
      <c r="W18" s="147" t="n"/>
    </row>
    <row r="19">
      <c r="A19" s="129">
        <f>IF(B18=0, "", B18)</f>
        <v/>
      </c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>
        <f>'Well Data'!$F$45-S19</f>
        <v/>
      </c>
      <c r="S19" s="154" t="n"/>
      <c r="T19" s="152" t="n"/>
      <c r="U19" s="284">
        <f>'Well Data'!$F$45-V19</f>
        <v/>
      </c>
      <c r="V19" s="153" t="n"/>
      <c r="W19" s="147" t="n"/>
    </row>
    <row r="20">
      <c r="A20" s="129">
        <f>IF(B19=0, "", B19)</f>
        <v/>
      </c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>
        <f>'Well Data'!$F$45-S20</f>
        <v/>
      </c>
      <c r="S20" s="154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>
        <f>'Well Data'!$F$45-S21</f>
        <v/>
      </c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>
        <f>'Well Data'!$F$45-S22</f>
        <v/>
      </c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>
        <f>'Well Data'!$F$45-S23</f>
        <v/>
      </c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>
        <f>'Well Data'!$F$45-S24</f>
        <v/>
      </c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>
        <f>'Well Data'!$F$45-S25</f>
        <v/>
      </c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>
        <f>'Well Data'!$F$45-S26</f>
        <v/>
      </c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>
        <f>'Well Data'!$F$45-S27</f>
        <v/>
      </c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>
        <f>'Well Data'!$F$45-S28</f>
        <v/>
      </c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>
        <f>'Well Data'!$F$45-S29</f>
        <v/>
      </c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55" operator="containsText" dxfId="6" stopIfTrue="1" text="0">
      <formula>NOT(ISERROR(SEARCH("0",A31)))</formula>
    </cfRule>
    <cfRule type="containsText" priority="56" operator="containsText" dxfId="5" stopIfTrue="1" text="1">
      <formula>NOT(ISERROR(SEARCH("1",A31)))</formula>
    </cfRule>
    <cfRule type="containsText" priority="57" operator="containsText" dxfId="4" stopIfTrue="1" text="2">
      <formula>NOT(ISERROR(SEARCH("2",A31)))</formula>
    </cfRule>
    <cfRule type="containsText" priority="58" operator="containsText" dxfId="3" stopIfTrue="1" text="3">
      <formula>NOT(ISERROR(SEARCH("3",A31)))</formula>
    </cfRule>
    <cfRule type="containsText" priority="59" operator="containsText" dxfId="2" stopIfTrue="1" text="4">
      <formula>NOT(ISERROR(SEARCH("4",A31)))</formula>
    </cfRule>
    <cfRule type="containsText" priority="60" operator="containsText" dxfId="1" stopIfTrue="1" text="5">
      <formula>NOT(ISERROR(SEARCH("5",A31)))</formula>
    </cfRule>
  </conditionalFormatting>
  <conditionalFormatting sqref="K9:L10">
    <cfRule type="containsText" priority="13" operator="containsText" dxfId="6" stopIfTrue="1" text="0">
      <formula>NOT(ISERROR(SEARCH("0",K9)))</formula>
    </cfRule>
    <cfRule type="containsText" priority="14" operator="containsText" dxfId="5" stopIfTrue="1" text="1">
      <formula>NOT(ISERROR(SEARCH("1",K9)))</formula>
    </cfRule>
    <cfRule type="containsText" priority="15" operator="containsText" dxfId="4" stopIfTrue="1" text="2">
      <formula>NOT(ISERROR(SEARCH("2",K9)))</formula>
    </cfRule>
    <cfRule type="containsText" priority="16" operator="containsText" dxfId="3" stopIfTrue="1" text="3">
      <formula>NOT(ISERROR(SEARCH("3",K9)))</formula>
    </cfRule>
    <cfRule type="containsText" priority="17" operator="containsText" dxfId="2" stopIfTrue="1" text="4">
      <formula>NOT(ISERROR(SEARCH("4",K9)))</formula>
    </cfRule>
    <cfRule type="containsText" priority="18" operator="containsText" dxfId="1" stopIfTrue="1" text="5">
      <formula>NOT(ISERROR(SEARCH("5",K9)))</formula>
    </cfRule>
  </conditionalFormatting>
  <conditionalFormatting sqref="K28:L28">
    <cfRule type="containsText" priority="43" operator="containsText" dxfId="6" stopIfTrue="1" text="0">
      <formula>NOT(ISERROR(SEARCH("0",K28)))</formula>
    </cfRule>
    <cfRule type="containsText" priority="44" operator="containsText" dxfId="5" stopIfTrue="1" text="1">
      <formula>NOT(ISERROR(SEARCH("1",K28)))</formula>
    </cfRule>
    <cfRule type="containsText" priority="45" operator="containsText" dxfId="4" stopIfTrue="1" text="2">
      <formula>NOT(ISERROR(SEARCH("2",K28)))</formula>
    </cfRule>
    <cfRule type="containsText" priority="46" operator="containsText" dxfId="3" stopIfTrue="1" text="3">
      <formula>NOT(ISERROR(SEARCH("3",K28)))</formula>
    </cfRule>
    <cfRule type="containsText" priority="47" operator="containsText" dxfId="2" stopIfTrue="1" text="4">
      <formula>NOT(ISERROR(SEARCH("4",K28)))</formula>
    </cfRule>
    <cfRule type="containsText" priority="48" operator="containsText" dxfId="1" stopIfTrue="1" text="5">
      <formula>NOT(ISERROR(SEARCH("5",K28)))</formula>
    </cfRule>
  </conditionalFormatting>
  <conditionalFormatting sqref="K29:L29">
    <cfRule type="containsText" priority="49" operator="containsText" dxfId="6" stopIfTrue="1" text="0">
      <formula>NOT(ISERROR(SEARCH("0",K29)))</formula>
    </cfRule>
    <cfRule type="containsText" priority="50" operator="containsText" dxfId="5" stopIfTrue="1" text="1">
      <formula>NOT(ISERROR(SEARCH("1",K29)))</formula>
    </cfRule>
    <cfRule type="containsText" priority="51" operator="containsText" dxfId="4" stopIfTrue="1" text="2">
      <formula>NOT(ISERROR(SEARCH("2",K29)))</formula>
    </cfRule>
    <cfRule type="containsText" priority="52" operator="containsText" dxfId="3" stopIfTrue="1" text="3">
      <formula>NOT(ISERROR(SEARCH("3",K29)))</formula>
    </cfRule>
    <cfRule type="containsText" priority="53" operator="containsText" dxfId="2" stopIfTrue="1" text="4">
      <formula>NOT(ISERROR(SEARCH("4",K29)))</formula>
    </cfRule>
    <cfRule type="containsText" priority="54" operator="containsText" dxfId="1" stopIfTrue="1" text="5">
      <formula>NOT(ISERROR(SEARCH("5",K29)))</formula>
    </cfRule>
  </conditionalFormatting>
  <conditionalFormatting sqref="K18:L19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21:L24">
    <cfRule type="containsText" priority="25" operator="containsText" dxfId="6" stopIfTrue="1" text="0">
      <formula>NOT(ISERROR(SEARCH("0",K21)))</formula>
    </cfRule>
    <cfRule type="containsText" priority="26" operator="containsText" dxfId="5" stopIfTrue="1" text="1">
      <formula>NOT(ISERROR(SEARCH("1",K21)))</formula>
    </cfRule>
    <cfRule type="containsText" priority="27" operator="containsText" dxfId="4" stopIfTrue="1" text="2">
      <formula>NOT(ISERROR(SEARCH("2",K21)))</formula>
    </cfRule>
    <cfRule type="containsText" priority="28" operator="containsText" dxfId="3" stopIfTrue="1" text="3">
      <formula>NOT(ISERROR(SEARCH("3",K21)))</formula>
    </cfRule>
    <cfRule type="containsText" priority="29" operator="containsText" dxfId="2" stopIfTrue="1" text="4">
      <formula>NOT(ISERROR(SEARCH("4",K21)))</formula>
    </cfRule>
    <cfRule type="containsText" priority="30" operator="containsText" dxfId="1" stopIfTrue="1" text="5">
      <formula>NOT(ISERROR(SEARCH("5",K21)))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27 K25:L26">
    <cfRule type="containsText" priority="1" operator="containsText" dxfId="6" stopIfTrue="1" text="0">
      <formula>NOT(ISERROR(SEARCH("0",K25)))</formula>
    </cfRule>
    <cfRule type="containsText" priority="2" operator="containsText" dxfId="5" stopIfTrue="1" text="1">
      <formula>NOT(ISERROR(SEARCH("1",K25)))</formula>
    </cfRule>
    <cfRule type="containsText" priority="3" operator="containsText" dxfId="4" stopIfTrue="1" text="2">
      <formula>NOT(ISERROR(SEARCH("2",K25)))</formula>
    </cfRule>
    <cfRule type="containsText" priority="4" operator="containsText" dxfId="3" stopIfTrue="1" text="3">
      <formula>NOT(ISERROR(SEARCH("3",K25)))</formula>
    </cfRule>
    <cfRule type="containsText" priority="5" operator="containsText" dxfId="2" stopIfTrue="1" text="4">
      <formula>NOT(ISERROR(SEARCH("4",K25)))</formula>
    </cfRule>
    <cfRule type="containsText" priority="6" operator="containsText" dxfId="1" stopIfTrue="1" text="5">
      <formula>NOT(ISERROR(SEARCH("5",K25)))</formula>
    </cfRule>
  </conditionalFormatting>
  <conditionalFormatting sqref="K20:L20">
    <cfRule type="containsText" priority="37" operator="containsText" dxfId="6" stopIfTrue="1" text="0">
      <formula>NOT(ISERROR(SEARCH("0",K20)))</formula>
    </cfRule>
    <cfRule type="containsText" priority="38" operator="containsText" dxfId="5" stopIfTrue="1" text="1">
      <formula>NOT(ISERROR(SEARCH("1",K20)))</formula>
    </cfRule>
    <cfRule type="containsText" priority="39" operator="containsText" dxfId="4" stopIfTrue="1" text="2">
      <formula>NOT(ISERROR(SEARCH("2",K20)))</formula>
    </cfRule>
    <cfRule type="containsText" priority="40" operator="containsText" dxfId="3" stopIfTrue="1" text="3">
      <formula>NOT(ISERROR(SEARCH("3",K20)))</formula>
    </cfRule>
    <cfRule type="containsText" priority="41" operator="containsText" dxfId="2" stopIfTrue="1" text="4">
      <formula>NOT(ISERROR(SEARCH("4",K20)))</formula>
    </cfRule>
    <cfRule type="containsText" priority="42" operator="containsText" dxfId="1" stopIfTrue="1" text="5">
      <formula>NOT(ISERROR(SEARCH("5",K20)))</formula>
    </cfRule>
  </conditionalFormatting>
  <conditionalFormatting sqref="K12:L17">
    <cfRule type="containsText" priority="7" operator="containsText" dxfId="6" stopIfTrue="1" text="0">
      <formula>NOT(ISERROR(SEARCH("0",K12)))</formula>
    </cfRule>
    <cfRule type="containsText" priority="8" operator="containsText" dxfId="5" stopIfTrue="1" text="1">
      <formula>NOT(ISERROR(SEARCH("1",K12)))</formula>
    </cfRule>
    <cfRule type="containsText" priority="9" operator="containsText" dxfId="4" stopIfTrue="1" text="2">
      <formula>NOT(ISERROR(SEARCH("2",K12)))</formula>
    </cfRule>
    <cfRule type="containsText" priority="10" operator="containsText" dxfId="3" stopIfTrue="1" text="3">
      <formula>NOT(ISERROR(SEARCH("3",K12)))</formula>
    </cfRule>
    <cfRule type="containsText" priority="11" operator="containsText" dxfId="2" stopIfTrue="1" text="4">
      <formula>NOT(ISERROR(SEARCH("4",K12)))</formula>
    </cfRule>
    <cfRule type="containsText" priority="12" operator="containsText" dxfId="1" stopIfTrue="1" text="5">
      <formula>NOT(ISERROR(SEARCH("5",K12)))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J90"/>
  <sheetViews>
    <sheetView workbookViewId="0">
      <selection activeCell="L13" sqref="L13"/>
    </sheetView>
  </sheetViews>
  <sheetFormatPr baseColWidth="8" defaultRowHeight="12.75"/>
  <cols>
    <col width="12.140625" customWidth="1" style="220" min="1" max="1"/>
    <col width="9.7109375" customWidth="1" style="220" min="2" max="5"/>
    <col width="10.42578125" customWidth="1" style="220" min="6" max="6"/>
    <col width="9.28515625" customWidth="1" style="220" min="7" max="9"/>
    <col width="33.7109375" customWidth="1" style="220" min="10" max="10"/>
  </cols>
  <sheetData>
    <row r="1" ht="23.25" customHeight="1" s="220">
      <c r="A1" s="556" t="inlineStr">
        <is>
          <t>DAILY DRILLING SUMMARY</t>
        </is>
      </c>
      <c r="B1" s="166" t="n"/>
      <c r="C1" s="167" t="n"/>
      <c r="D1" s="166" t="n"/>
      <c r="E1" s="167" t="n"/>
      <c r="F1" s="167" t="n"/>
      <c r="G1" s="167" t="n"/>
      <c r="H1" s="167" t="n"/>
      <c r="I1" s="167" t="n"/>
      <c r="J1" s="168" t="n"/>
    </row>
    <row r="2" ht="14.25" customHeight="1" s="220">
      <c r="A2" s="557" t="n"/>
      <c r="B2" s="170" t="n"/>
      <c r="C2" s="215" t="n"/>
      <c r="D2" s="170" t="n"/>
      <c r="E2" s="215" t="n"/>
      <c r="F2" s="215" t="n"/>
      <c r="G2" s="215" t="n"/>
      <c r="H2" s="215" t="n"/>
      <c r="I2" s="215" t="n"/>
      <c r="J2" s="171" t="n"/>
    </row>
    <row r="3" ht="15" customHeight="1" s="220">
      <c r="A3" s="558" t="inlineStr">
        <is>
          <t>**Please do not add or remove any columns**</t>
        </is>
      </c>
      <c r="B3" s="225" t="n"/>
      <c r="C3" s="225" t="n"/>
      <c r="D3" s="225" t="n"/>
      <c r="E3" s="225" t="n"/>
      <c r="F3" s="225" t="n"/>
      <c r="G3" s="225" t="n"/>
      <c r="H3" s="225" t="n"/>
      <c r="I3" s="225" t="n"/>
      <c r="J3" s="225" t="n"/>
    </row>
    <row r="4" ht="14.25" customHeight="1" s="220">
      <c r="A4" s="557" t="n"/>
      <c r="B4" s="170" t="n"/>
      <c r="C4" s="215" t="n"/>
      <c r="D4" s="170" t="n"/>
      <c r="E4" s="215" t="n"/>
      <c r="F4" s="215" t="n"/>
      <c r="G4" s="215" t="n"/>
      <c r="H4" s="215" t="n"/>
      <c r="I4" s="215" t="n"/>
      <c r="J4" s="171" t="n"/>
    </row>
    <row r="5" ht="25.5" customHeight="1" s="220">
      <c r="A5" s="559" t="inlineStr">
        <is>
          <t>Date</t>
        </is>
      </c>
      <c r="B5" s="434" t="inlineStr">
        <is>
          <t>MN Depth</t>
        </is>
      </c>
      <c r="C5" s="434" t="inlineStr">
        <is>
          <t>Progress</t>
        </is>
      </c>
      <c r="D5" s="434" t="inlineStr">
        <is>
          <t>Drilling
Hours</t>
        </is>
      </c>
      <c r="E5" s="434" t="inlineStr">
        <is>
          <t>ROP
(m/hr)</t>
        </is>
      </c>
      <c r="F5" s="172" t="inlineStr">
        <is>
          <t>Mud Properties</t>
        </is>
      </c>
      <c r="G5" s="172" t="n"/>
      <c r="H5" s="172" t="n"/>
      <c r="I5" s="172" t="n"/>
      <c r="J5" s="436" t="inlineStr">
        <is>
          <t>Operations Summary</t>
        </is>
      </c>
    </row>
    <row r="6">
      <c r="A6" s="525" t="n"/>
      <c r="B6" s="560" t="n"/>
      <c r="C6" s="560" t="n"/>
      <c r="D6" s="560" t="n"/>
      <c r="E6" s="560" t="n"/>
      <c r="F6" s="173" t="inlineStr">
        <is>
          <t>Density</t>
        </is>
      </c>
      <c r="G6" s="173" t="inlineStr">
        <is>
          <t>Vis</t>
        </is>
      </c>
      <c r="H6" s="173" t="inlineStr">
        <is>
          <t>WL</t>
        </is>
      </c>
      <c r="I6" s="173" t="inlineStr">
        <is>
          <t>pH</t>
        </is>
      </c>
      <c r="J6" s="561" t="n"/>
    </row>
    <row r="7">
      <c r="A7" s="562" t="n"/>
      <c r="B7" s="175" t="n"/>
      <c r="C7" s="175" t="n"/>
      <c r="D7" s="175" t="n"/>
      <c r="E7" s="176">
        <f>IF(D7=0,0,C7/D7)</f>
        <v/>
      </c>
      <c r="F7" s="177" t="n"/>
      <c r="G7" s="177" t="n"/>
      <c r="H7" s="177" t="n"/>
      <c r="I7" s="177" t="n"/>
      <c r="J7" s="178" t="n"/>
    </row>
    <row r="8">
      <c r="A8" s="563" t="n"/>
      <c r="B8" s="180" t="n"/>
      <c r="C8" s="180">
        <f>IF(B8=0,0,B8-B7)</f>
        <v/>
      </c>
      <c r="D8" s="180" t="n"/>
      <c r="E8" s="181">
        <f>IF(D8=0,0,C8/D8)</f>
        <v/>
      </c>
      <c r="F8" s="182" t="n"/>
      <c r="G8" s="182" t="n"/>
      <c r="H8" s="182" t="n"/>
      <c r="I8" s="182" t="n"/>
      <c r="J8" s="183" t="n"/>
    </row>
    <row r="9">
      <c r="A9" s="564" t="n"/>
      <c r="B9" s="185" t="n"/>
      <c r="C9" s="185">
        <f>IF(B9=0,0,B9-B8)</f>
        <v/>
      </c>
      <c r="D9" s="185" t="n"/>
      <c r="E9" s="186">
        <f>IF(D9=0,0,C9/D9)</f>
        <v/>
      </c>
      <c r="F9" s="187" t="n"/>
      <c r="G9" s="187" t="n"/>
      <c r="H9" s="187" t="n"/>
      <c r="I9" s="187" t="n"/>
      <c r="J9" s="188" t="n"/>
    </row>
    <row r="10">
      <c r="A10" s="565" t="n"/>
      <c r="B10" s="190" t="n"/>
      <c r="C10" s="190">
        <f>IF(B10=0,0,B10-B9)</f>
        <v/>
      </c>
      <c r="D10" s="190" t="n"/>
      <c r="E10" s="191">
        <f>IF(D10=0,0,C10/D10)</f>
        <v/>
      </c>
      <c r="F10" s="192" t="n"/>
      <c r="G10" s="192" t="n"/>
      <c r="H10" s="192" t="n"/>
      <c r="I10" s="192" t="n"/>
      <c r="J10" s="193" t="n"/>
    </row>
    <row r="11">
      <c r="A11" s="564" t="n"/>
      <c r="B11" s="185" t="n"/>
      <c r="C11" s="185">
        <f>IF(B11=0,0,B11-B10)</f>
        <v/>
      </c>
      <c r="D11" s="185" t="n"/>
      <c r="E11" s="186">
        <f>IF(D11=0,0,C11/D11)</f>
        <v/>
      </c>
      <c r="F11" s="187" t="n"/>
      <c r="G11" s="187" t="n"/>
      <c r="H11" s="187" t="n"/>
      <c r="I11" s="187" t="n"/>
      <c r="J11" s="188" t="n"/>
    </row>
    <row r="12">
      <c r="A12" s="565" t="n"/>
      <c r="B12" s="190" t="n"/>
      <c r="C12" s="190">
        <f>IF(B12=0,0,B12-B11)</f>
        <v/>
      </c>
      <c r="D12" s="190" t="n"/>
      <c r="E12" s="191">
        <f>IF(D12=0,0,C12/D12)</f>
        <v/>
      </c>
      <c r="F12" s="192" t="n"/>
      <c r="G12" s="192" t="n"/>
      <c r="H12" s="192" t="n"/>
      <c r="I12" s="192" t="n"/>
      <c r="J12" s="193" t="n"/>
    </row>
    <row r="13">
      <c r="A13" s="564" t="n"/>
      <c r="B13" s="185" t="n"/>
      <c r="C13" s="185">
        <f>IF(B13=0,0,B13-B12)</f>
        <v/>
      </c>
      <c r="D13" s="185" t="n"/>
      <c r="E13" s="186">
        <f>IF(D13=0,0,C13/D13)</f>
        <v/>
      </c>
      <c r="F13" s="187" t="n"/>
      <c r="G13" s="187" t="n"/>
      <c r="H13" s="187" t="n"/>
      <c r="I13" s="187" t="n"/>
      <c r="J13" s="188" t="n"/>
    </row>
    <row r="14">
      <c r="A14" s="565" t="n"/>
      <c r="B14" s="190" t="n"/>
      <c r="C14" s="190">
        <f>IF(B14=0,0,B14-B13)</f>
        <v/>
      </c>
      <c r="D14" s="190" t="n"/>
      <c r="E14" s="191">
        <f>IF(D14=0,0,C14/D14)</f>
        <v/>
      </c>
      <c r="F14" s="192" t="n"/>
      <c r="G14" s="192" t="n"/>
      <c r="H14" s="192" t="n"/>
      <c r="I14" s="192" t="n"/>
      <c r="J14" s="193" t="n"/>
    </row>
    <row r="15">
      <c r="A15" s="564" t="n"/>
      <c r="B15" s="185" t="n"/>
      <c r="C15" s="185">
        <f>IF(B15=0,0,B15-B14)</f>
        <v/>
      </c>
      <c r="D15" s="185" t="n"/>
      <c r="E15" s="186">
        <f>IF(D15=0,0,C15/D15)</f>
        <v/>
      </c>
      <c r="F15" s="187" t="n"/>
      <c r="G15" s="187" t="n"/>
      <c r="H15" s="187" t="n"/>
      <c r="I15" s="187" t="n"/>
      <c r="J15" s="188" t="n"/>
    </row>
    <row r="16">
      <c r="A16" s="565" t="n"/>
      <c r="B16" s="190" t="n"/>
      <c r="C16" s="190">
        <f>IF(B16=0,0,B16-B15)</f>
        <v/>
      </c>
      <c r="D16" s="190" t="n"/>
      <c r="E16" s="191">
        <f>IF(D16=0,0,C16/D16)</f>
        <v/>
      </c>
      <c r="F16" s="192" t="n"/>
      <c r="G16" s="192" t="n"/>
      <c r="H16" s="192" t="n"/>
      <c r="I16" s="192" t="n"/>
      <c r="J16" s="193" t="n"/>
    </row>
    <row r="17">
      <c r="A17" s="564" t="n"/>
      <c r="B17" s="185" t="n"/>
      <c r="C17" s="185">
        <f>IF(B17=0,0,B17-B16)</f>
        <v/>
      </c>
      <c r="D17" s="185" t="n"/>
      <c r="E17" s="186">
        <f>IF(D17=0,0,C17/D17)</f>
        <v/>
      </c>
      <c r="F17" s="187" t="n"/>
      <c r="G17" s="187" t="n"/>
      <c r="H17" s="187" t="n"/>
      <c r="I17" s="187" t="n"/>
      <c r="J17" s="188" t="n"/>
    </row>
    <row r="18">
      <c r="A18" s="565" t="n"/>
      <c r="B18" s="190" t="n"/>
      <c r="C18" s="190">
        <f>IF(B18=0,0,B18-B17)</f>
        <v/>
      </c>
      <c r="D18" s="190" t="n"/>
      <c r="E18" s="191">
        <f>IF(D18=0,0,C18/D18)</f>
        <v/>
      </c>
      <c r="F18" s="192" t="n"/>
      <c r="G18" s="192" t="n"/>
      <c r="H18" s="192" t="n"/>
      <c r="I18" s="192" t="n"/>
      <c r="J18" s="193" t="n"/>
    </row>
    <row r="19">
      <c r="A19" s="564" t="n"/>
      <c r="B19" s="185" t="n"/>
      <c r="C19" s="185">
        <f>IF(B19=0,0,B19-B18)</f>
        <v/>
      </c>
      <c r="D19" s="185" t="n"/>
      <c r="E19" s="186">
        <f>IF(D19=0,0,C19/D19)</f>
        <v/>
      </c>
      <c r="F19" s="187" t="n"/>
      <c r="G19" s="187" t="n"/>
      <c r="H19" s="187" t="n"/>
      <c r="I19" s="187" t="n"/>
      <c r="J19" s="188" t="n"/>
    </row>
    <row r="20">
      <c r="A20" s="565" t="n"/>
      <c r="B20" s="190" t="n"/>
      <c r="C20" s="190">
        <f>IF(B20=0,0,B20-B19)</f>
        <v/>
      </c>
      <c r="D20" s="190" t="n"/>
      <c r="E20" s="191">
        <f>IF(D20=0,0,C20/D20)</f>
        <v/>
      </c>
      <c r="F20" s="192" t="n"/>
      <c r="G20" s="192" t="n"/>
      <c r="H20" s="192" t="n"/>
      <c r="I20" s="192" t="n"/>
      <c r="J20" s="193" t="n"/>
    </row>
    <row r="21">
      <c r="A21" s="564" t="n"/>
      <c r="B21" s="185" t="n"/>
      <c r="C21" s="185">
        <f>IF(B21=0,0,B21-B20)</f>
        <v/>
      </c>
      <c r="D21" s="185" t="n"/>
      <c r="E21" s="186">
        <f>IF(D21=0,0,C21/D21)</f>
        <v/>
      </c>
      <c r="F21" s="187" t="n"/>
      <c r="G21" s="187" t="n"/>
      <c r="H21" s="187" t="n"/>
      <c r="I21" s="187" t="n"/>
      <c r="J21" s="188" t="n"/>
    </row>
    <row r="22">
      <c r="A22" s="565" t="n"/>
      <c r="B22" s="190" t="n"/>
      <c r="C22" s="190">
        <f>IF(B22=0,0,B22-B21)</f>
        <v/>
      </c>
      <c r="D22" s="190" t="n"/>
      <c r="E22" s="191">
        <f>IF(D22=0,0,C22/D22)</f>
        <v/>
      </c>
      <c r="F22" s="192" t="n"/>
      <c r="G22" s="192" t="n"/>
      <c r="H22" s="192" t="n"/>
      <c r="I22" s="192" t="n"/>
      <c r="J22" s="193" t="n"/>
    </row>
    <row r="23">
      <c r="A23" s="564" t="n"/>
      <c r="B23" s="185" t="n"/>
      <c r="C23" s="185">
        <f>IF(B23=0,0,B23-B22)</f>
        <v/>
      </c>
      <c r="D23" s="185" t="n"/>
      <c r="E23" s="186">
        <f>IF(D23=0,0,C23/D23)</f>
        <v/>
      </c>
      <c r="F23" s="187" t="n"/>
      <c r="G23" s="187" t="n"/>
      <c r="H23" s="187" t="n"/>
      <c r="I23" s="187" t="n"/>
      <c r="J23" s="188" t="n"/>
    </row>
    <row r="24">
      <c r="A24" s="565" t="n"/>
      <c r="B24" s="190" t="n"/>
      <c r="C24" s="190">
        <f>IF(B24=0,0,B24-B23)</f>
        <v/>
      </c>
      <c r="D24" s="190" t="n"/>
      <c r="E24" s="191">
        <f>IF(D24=0,0,C24/D24)</f>
        <v/>
      </c>
      <c r="F24" s="192" t="n"/>
      <c r="G24" s="192" t="n"/>
      <c r="H24" s="192" t="n"/>
      <c r="I24" s="192" t="n"/>
      <c r="J24" s="193" t="n"/>
    </row>
    <row r="25">
      <c r="A25" s="564" t="n"/>
      <c r="B25" s="185" t="n"/>
      <c r="C25" s="185">
        <f>IF(B25=0,0,B25-B24)</f>
        <v/>
      </c>
      <c r="D25" s="185" t="n"/>
      <c r="E25" s="186">
        <f>IF(D25=0,0,C25/D25)</f>
        <v/>
      </c>
      <c r="F25" s="187" t="n"/>
      <c r="G25" s="187" t="n"/>
      <c r="H25" s="187" t="n"/>
      <c r="I25" s="187" t="n"/>
      <c r="J25" s="188" t="n"/>
    </row>
    <row r="26">
      <c r="A26" s="565" t="n"/>
      <c r="B26" s="190" t="n"/>
      <c r="C26" s="190">
        <f>IF(B26=0,0,B26-B25)</f>
        <v/>
      </c>
      <c r="D26" s="190" t="n"/>
      <c r="E26" s="191">
        <f>IF(D26=0,0,C26/D26)</f>
        <v/>
      </c>
      <c r="F26" s="192" t="n"/>
      <c r="G26" s="192" t="n"/>
      <c r="H26" s="192" t="n"/>
      <c r="I26" s="192" t="n"/>
      <c r="J26" s="193" t="n"/>
    </row>
    <row r="27" ht="14.25" customHeight="1" s="220">
      <c r="A27" s="566" t="n"/>
      <c r="B27" s="195" t="n"/>
      <c r="C27" s="185">
        <f>IF(B27=0,0,B27-B26)</f>
        <v/>
      </c>
      <c r="D27" s="195" t="n"/>
      <c r="E27" s="186">
        <f>IF(D27=0,0,C27/D27)</f>
        <v/>
      </c>
      <c r="F27" s="195" t="n"/>
      <c r="G27" s="195" t="n"/>
      <c r="H27" s="195" t="n"/>
      <c r="I27" s="195" t="n"/>
      <c r="J27" s="196" t="n"/>
    </row>
    <row r="28" ht="14.25" customHeight="1" s="220">
      <c r="A28" s="567" t="n"/>
      <c r="B28" s="198" t="n"/>
      <c r="C28" s="190">
        <f>IF(B28=0,0,B28-B27)</f>
        <v/>
      </c>
      <c r="D28" s="198" t="n"/>
      <c r="E28" s="191">
        <f>IF(D28=0,0,C28/D28)</f>
        <v/>
      </c>
      <c r="F28" s="198" t="n"/>
      <c r="G28" s="198" t="n"/>
      <c r="H28" s="198" t="n"/>
      <c r="I28" s="198" t="n"/>
      <c r="J28" s="199" t="n"/>
    </row>
    <row r="29" ht="14.25" customHeight="1" s="220">
      <c r="A29" s="566" t="n"/>
      <c r="B29" s="195" t="n"/>
      <c r="C29" s="185">
        <f>IF(B29=0,0,B29-B28)</f>
        <v/>
      </c>
      <c r="D29" s="195" t="n"/>
      <c r="E29" s="186">
        <f>IF(D29=0,0,C29/D29)</f>
        <v/>
      </c>
      <c r="F29" s="195" t="n"/>
      <c r="G29" s="195" t="n"/>
      <c r="H29" s="195" t="n"/>
      <c r="I29" s="195" t="n"/>
      <c r="J29" s="196" t="n"/>
    </row>
    <row r="30" ht="14.25" customHeight="1" s="220">
      <c r="A30" s="567" t="n"/>
      <c r="B30" s="198" t="n"/>
      <c r="C30" s="190">
        <f>IF(B30=0,0,B30-B29)</f>
        <v/>
      </c>
      <c r="D30" s="198" t="n"/>
      <c r="E30" s="191">
        <f>IF(D30=0,0,C30/D30)</f>
        <v/>
      </c>
      <c r="F30" s="198" t="n"/>
      <c r="G30" s="198" t="n"/>
      <c r="H30" s="198" t="n"/>
      <c r="I30" s="198" t="n"/>
      <c r="J30" s="199" t="n"/>
    </row>
    <row r="31" ht="14.25" customHeight="1" s="220">
      <c r="A31" s="566" t="n"/>
      <c r="B31" s="195" t="n"/>
      <c r="C31" s="185">
        <f>IF(B31=0,0,B31-B30)</f>
        <v/>
      </c>
      <c r="D31" s="195" t="n"/>
      <c r="E31" s="186">
        <f>IF(D31=0,0,C31/D31)</f>
        <v/>
      </c>
      <c r="F31" s="195" t="n"/>
      <c r="G31" s="195" t="n"/>
      <c r="H31" s="195" t="n"/>
      <c r="I31" s="195" t="n"/>
      <c r="J31" s="196" t="n"/>
    </row>
    <row r="32" ht="14.25" customHeight="1" s="220">
      <c r="A32" s="567" t="n"/>
      <c r="B32" s="198" t="n"/>
      <c r="C32" s="190">
        <f>IF(B32=0,0,B32-B31)</f>
        <v/>
      </c>
      <c r="D32" s="198" t="n"/>
      <c r="E32" s="191">
        <f>IF(D32=0,0,C32/D32)</f>
        <v/>
      </c>
      <c r="F32" s="198" t="n"/>
      <c r="G32" s="198" t="n"/>
      <c r="H32" s="198" t="n"/>
      <c r="I32" s="198" t="n"/>
      <c r="J32" s="199" t="n"/>
    </row>
    <row r="33" ht="14.25" customHeight="1" s="220">
      <c r="A33" s="566" t="n"/>
      <c r="B33" s="195" t="n"/>
      <c r="C33" s="185">
        <f>IF(B33=0,0,B33-B32)</f>
        <v/>
      </c>
      <c r="D33" s="195" t="n"/>
      <c r="E33" s="186">
        <f>IF(D33=0,0,C33/D33)</f>
        <v/>
      </c>
      <c r="F33" s="195" t="n"/>
      <c r="G33" s="195" t="n"/>
      <c r="H33" s="195" t="n"/>
      <c r="I33" s="195" t="n"/>
      <c r="J33" s="196" t="n"/>
    </row>
    <row r="34" ht="14.25" customHeight="1" s="220">
      <c r="A34" s="567" t="n"/>
      <c r="B34" s="198" t="n"/>
      <c r="C34" s="190">
        <f>IF(B34=0,0,B34-B33)</f>
        <v/>
      </c>
      <c r="D34" s="198" t="n"/>
      <c r="E34" s="191">
        <f>IF(D34=0,0,C34/D34)</f>
        <v/>
      </c>
      <c r="F34" s="198" t="n"/>
      <c r="G34" s="198" t="n"/>
      <c r="H34" s="198" t="n"/>
      <c r="I34" s="198" t="n"/>
      <c r="J34" s="199" t="n"/>
    </row>
    <row r="35" ht="14.25" customHeight="1" s="220">
      <c r="A35" s="566" t="n"/>
      <c r="B35" s="195" t="n"/>
      <c r="C35" s="185">
        <f>IF(B35=0,0,B35-B34)</f>
        <v/>
      </c>
      <c r="D35" s="195" t="n"/>
      <c r="E35" s="186">
        <f>IF(D35=0,0,C35/D35)</f>
        <v/>
      </c>
      <c r="F35" s="195" t="n"/>
      <c r="G35" s="195" t="n"/>
      <c r="H35" s="195" t="n"/>
      <c r="I35" s="195" t="n"/>
      <c r="J35" s="196" t="n"/>
    </row>
    <row r="36" ht="14.25" customHeight="1" s="220">
      <c r="A36" s="567" t="n"/>
      <c r="B36" s="198" t="n"/>
      <c r="C36" s="190">
        <f>IF(B36=0,0,B36-B35)</f>
        <v/>
      </c>
      <c r="D36" s="198" t="n"/>
      <c r="E36" s="191">
        <f>IF(D36=0,0,C36/D36)</f>
        <v/>
      </c>
      <c r="F36" s="198" t="n"/>
      <c r="G36" s="198" t="n"/>
      <c r="H36" s="198" t="n"/>
      <c r="I36" s="198" t="n"/>
      <c r="J36" s="199" t="n"/>
    </row>
    <row r="37" ht="14.25" customHeight="1" s="220">
      <c r="A37" s="566" t="n"/>
      <c r="B37" s="195" t="n"/>
      <c r="C37" s="185">
        <f>IF(B37=0,0,B37-B36)</f>
        <v/>
      </c>
      <c r="D37" s="195" t="n"/>
      <c r="E37" s="186">
        <f>IF(D37=0,0,C37/D37)</f>
        <v/>
      </c>
      <c r="F37" s="195" t="n"/>
      <c r="G37" s="195" t="n"/>
      <c r="H37" s="195" t="n"/>
      <c r="I37" s="195" t="n"/>
      <c r="J37" s="196" t="n"/>
    </row>
    <row r="38" ht="14.25" customHeight="1" s="220">
      <c r="A38" s="567" t="n"/>
      <c r="B38" s="198" t="n"/>
      <c r="C38" s="190">
        <f>IF(B38=0,0,B38-B37)</f>
        <v/>
      </c>
      <c r="D38" s="198" t="n"/>
      <c r="E38" s="191">
        <f>IF(D38=0,0,C38/D38)</f>
        <v/>
      </c>
      <c r="F38" s="198" t="n"/>
      <c r="G38" s="198" t="n"/>
      <c r="H38" s="198" t="n"/>
      <c r="I38" s="198" t="n"/>
      <c r="J38" s="199" t="n"/>
    </row>
    <row r="39" ht="14.25" customHeight="1" s="220">
      <c r="A39" s="568" t="n"/>
      <c r="B39" s="201" t="n"/>
      <c r="C39" s="202">
        <f>IF(B39=0,0,B39-B38)</f>
        <v/>
      </c>
      <c r="D39" s="195" t="n"/>
      <c r="E39" s="186">
        <f>IF(D39=0,0,C39/D39)</f>
        <v/>
      </c>
      <c r="F39" s="195" t="n"/>
      <c r="G39" s="195" t="n"/>
      <c r="H39" s="195" t="n"/>
      <c r="I39" s="195" t="n"/>
      <c r="J39" s="196" t="n"/>
    </row>
    <row r="40" ht="14.25" customHeight="1" s="220">
      <c r="A40" s="569" t="n"/>
      <c r="B40" s="204" t="n"/>
      <c r="C40" s="205">
        <f>IF(B40=0,0,B40-B39)</f>
        <v/>
      </c>
      <c r="D40" s="198" t="n"/>
      <c r="E40" s="191">
        <f>IF(D40=0,0,C40/D40)</f>
        <v/>
      </c>
      <c r="F40" s="198" t="n"/>
      <c r="G40" s="198" t="n"/>
      <c r="H40" s="198" t="n"/>
      <c r="I40" s="198" t="n"/>
      <c r="J40" s="199" t="n"/>
    </row>
    <row r="41" ht="14.25" customHeight="1" s="220">
      <c r="A41" s="568" t="n"/>
      <c r="B41" s="201" t="n"/>
      <c r="C41" s="206">
        <f>IF(B41=0,0,B41-B40)</f>
        <v/>
      </c>
      <c r="D41" s="201" t="n"/>
      <c r="E41" s="207">
        <f>IF(D41=0,0,C41/D41)</f>
        <v/>
      </c>
      <c r="F41" s="201" t="n"/>
      <c r="G41" s="208" t="n"/>
      <c r="H41" s="201" t="n"/>
      <c r="I41" s="201" t="n"/>
      <c r="J41" s="209" t="n"/>
    </row>
    <row r="42" ht="14.25" customHeight="1" s="220">
      <c r="A42" s="568" t="n"/>
      <c r="B42" s="201" t="n"/>
      <c r="C42" s="206">
        <f>IF(B42=0,0,B42-B41)</f>
        <v/>
      </c>
      <c r="D42" s="201" t="n"/>
      <c r="E42" s="207">
        <f>IF(D42=0,0,C42/D42)</f>
        <v/>
      </c>
      <c r="F42" s="201" t="n"/>
      <c r="G42" s="208" t="n"/>
      <c r="H42" s="201" t="n"/>
      <c r="I42" s="201" t="n"/>
      <c r="J42" s="209" t="n"/>
    </row>
    <row r="43" ht="14.25" customHeight="1" s="220">
      <c r="A43" s="568" t="n"/>
      <c r="B43" s="201" t="n"/>
      <c r="C43" s="206">
        <f>IF(B43=0,0,B43-B42)</f>
        <v/>
      </c>
      <c r="D43" s="201" t="n"/>
      <c r="E43" s="207">
        <f>IF(D43=0,0,C43/D43)</f>
        <v/>
      </c>
      <c r="F43" s="201" t="n"/>
      <c r="G43" s="208" t="n"/>
      <c r="H43" s="201" t="n"/>
      <c r="I43" s="201" t="n"/>
      <c r="J43" s="209" t="n"/>
    </row>
    <row r="44" ht="14.25" customHeight="1" s="220">
      <c r="A44" s="568" t="n"/>
      <c r="B44" s="201" t="n"/>
      <c r="C44" s="206">
        <f>IF(B44=0,0,B44-B43)</f>
        <v/>
      </c>
      <c r="D44" s="201" t="n"/>
      <c r="E44" s="207">
        <f>IF(D44=0,0,C44/D44)</f>
        <v/>
      </c>
      <c r="F44" s="201" t="n"/>
      <c r="G44" s="208" t="n"/>
      <c r="H44" s="201" t="n"/>
      <c r="I44" s="201" t="n"/>
      <c r="J44" s="209" t="n"/>
    </row>
    <row r="45" ht="14.25" customHeight="1" s="220">
      <c r="A45" s="568" t="n"/>
      <c r="B45" s="201" t="n"/>
      <c r="C45" s="206">
        <f>IF(B45=0,0,B45-B44)</f>
        <v/>
      </c>
      <c r="D45" s="201" t="n"/>
      <c r="E45" s="207">
        <f>IF(D45=0,0,C45/D45)</f>
        <v/>
      </c>
      <c r="F45" s="201" t="n"/>
      <c r="G45" s="208" t="n"/>
      <c r="H45" s="201" t="n"/>
      <c r="I45" s="201" t="n"/>
      <c r="J45" s="209" t="n"/>
    </row>
    <row r="46" ht="14.25" customHeight="1" s="220">
      <c r="A46" s="568" t="n"/>
      <c r="B46" s="201" t="n"/>
      <c r="C46" s="206">
        <f>IF(B46=0,0,B46-B45)</f>
        <v/>
      </c>
      <c r="D46" s="201" t="n"/>
      <c r="E46" s="207">
        <f>IF(D46=0,0,C46/D46)</f>
        <v/>
      </c>
      <c r="F46" s="201" t="n"/>
      <c r="G46" s="208" t="n"/>
      <c r="H46" s="201" t="n"/>
      <c r="I46" s="201" t="n"/>
      <c r="J46" s="209" t="n"/>
    </row>
    <row r="47" ht="14.25" customHeight="1" s="220">
      <c r="A47" s="568" t="n"/>
      <c r="B47" s="201" t="n"/>
      <c r="C47" s="206">
        <f>IF(B47=0,0,B47-B46)</f>
        <v/>
      </c>
      <c r="D47" s="201" t="n"/>
      <c r="E47" s="207">
        <f>IF(D47=0,0,C47/D47)</f>
        <v/>
      </c>
      <c r="F47" s="201" t="n"/>
      <c r="G47" s="208" t="n"/>
      <c r="H47" s="201" t="n"/>
      <c r="I47" s="201" t="n"/>
      <c r="J47" s="209" t="n"/>
    </row>
    <row r="48" ht="14.25" customHeight="1" s="220">
      <c r="A48" s="568" t="n"/>
      <c r="B48" s="201" t="n"/>
      <c r="C48" s="206">
        <f>IF(B48=0,0,B48-B47)</f>
        <v/>
      </c>
      <c r="D48" s="201" t="n"/>
      <c r="E48" s="207">
        <f>IF(D48=0,0,C48/D48)</f>
        <v/>
      </c>
      <c r="F48" s="201" t="n"/>
      <c r="G48" s="208" t="n"/>
      <c r="H48" s="201" t="n"/>
      <c r="I48" s="201" t="n"/>
      <c r="J48" s="209" t="n"/>
    </row>
    <row r="49" ht="14.25" customHeight="1" s="220">
      <c r="A49" s="568" t="n"/>
      <c r="B49" s="201" t="n"/>
      <c r="C49" s="206">
        <f>IF(B49=0,0,B49-B48)</f>
        <v/>
      </c>
      <c r="D49" s="201" t="n"/>
      <c r="E49" s="207">
        <f>IF(D49=0,0,C49/D49)</f>
        <v/>
      </c>
      <c r="F49" s="201" t="n"/>
      <c r="G49" s="208" t="n"/>
      <c r="H49" s="201" t="n"/>
      <c r="I49" s="201" t="n"/>
      <c r="J49" s="209" t="n"/>
    </row>
    <row r="50" ht="14.25" customHeight="1" s="220">
      <c r="A50" s="568" t="n"/>
      <c r="B50" s="201" t="n"/>
      <c r="C50" s="206">
        <f>IF(B50=0,0,B50-B49)</f>
        <v/>
      </c>
      <c r="D50" s="201" t="n"/>
      <c r="E50" s="207">
        <f>IF(D50=0,0,C50/D50)</f>
        <v/>
      </c>
      <c r="F50" s="201" t="n"/>
      <c r="G50" s="208" t="n"/>
      <c r="H50" s="201" t="n"/>
      <c r="I50" s="201" t="n"/>
      <c r="J50" s="209" t="n"/>
    </row>
    <row r="51" ht="14.25" customHeight="1" s="220">
      <c r="A51" s="568" t="n"/>
      <c r="B51" s="201" t="n"/>
      <c r="C51" s="206">
        <f>IF(B51=0,0,B51-B50)</f>
        <v/>
      </c>
      <c r="D51" s="201" t="n"/>
      <c r="E51" s="207">
        <f>IF(D51=0,0,C51/D51)</f>
        <v/>
      </c>
      <c r="F51" s="201" t="n"/>
      <c r="G51" s="208" t="n"/>
      <c r="H51" s="201" t="n"/>
      <c r="I51" s="201" t="n"/>
      <c r="J51" s="209" t="n"/>
    </row>
    <row r="52" ht="14.25" customHeight="1" s="220">
      <c r="A52" s="568" t="n"/>
      <c r="B52" s="201" t="n"/>
      <c r="C52" s="206">
        <f>IF(B52=0,0,B52-B51)</f>
        <v/>
      </c>
      <c r="D52" s="201" t="n"/>
      <c r="E52" s="207">
        <f>IF(D52=0,0,C52/D52)</f>
        <v/>
      </c>
      <c r="F52" s="201" t="n"/>
      <c r="G52" s="208" t="n"/>
      <c r="H52" s="201" t="n"/>
      <c r="I52" s="201" t="n"/>
      <c r="J52" s="209" t="n"/>
    </row>
    <row r="53" ht="14.25" customHeight="1" s="220">
      <c r="A53" s="568" t="n"/>
      <c r="B53" s="201" t="n"/>
      <c r="C53" s="206">
        <f>IF(B53=0,0,B53-B52)</f>
        <v/>
      </c>
      <c r="D53" s="201" t="n"/>
      <c r="E53" s="207">
        <f>IF(D53=0,0,C53/D53)</f>
        <v/>
      </c>
      <c r="F53" s="201" t="n"/>
      <c r="G53" s="208" t="n"/>
      <c r="H53" s="201" t="n"/>
      <c r="I53" s="201" t="n"/>
      <c r="J53" s="209" t="n"/>
    </row>
    <row r="54" ht="14.25" customHeight="1" s="220">
      <c r="A54" s="568" t="n"/>
      <c r="B54" s="201" t="n"/>
      <c r="C54" s="206">
        <f>IF(B54=0,0,B54-B53)</f>
        <v/>
      </c>
      <c r="D54" s="201" t="n"/>
      <c r="E54" s="207">
        <f>IF(D54=0,0,C54/D54)</f>
        <v/>
      </c>
      <c r="F54" s="201" t="n"/>
      <c r="G54" s="208" t="n"/>
      <c r="H54" s="201" t="n"/>
      <c r="I54" s="201" t="n"/>
      <c r="J54" s="209" t="n"/>
    </row>
    <row r="55" ht="14.25" customHeight="1" s="220">
      <c r="A55" s="568" t="n"/>
      <c r="B55" s="201" t="n"/>
      <c r="C55" s="206">
        <f>IF(B55=0,0,B55-B54)</f>
        <v/>
      </c>
      <c r="D55" s="201" t="n"/>
      <c r="E55" s="207">
        <f>IF(D55=0,0,C55/D55)</f>
        <v/>
      </c>
      <c r="F55" s="201" t="n"/>
      <c r="G55" s="208" t="n"/>
      <c r="H55" s="201" t="n"/>
      <c r="I55" s="201" t="n"/>
      <c r="J55" s="209" t="n"/>
    </row>
    <row r="56" ht="14.25" customHeight="1" s="220">
      <c r="A56" s="568" t="n"/>
      <c r="B56" s="201" t="n"/>
      <c r="C56" s="206">
        <f>IF(B56=0,0,B56-B55)</f>
        <v/>
      </c>
      <c r="D56" s="201" t="n"/>
      <c r="E56" s="207">
        <f>IF(D56=0,0,C56/D56)</f>
        <v/>
      </c>
      <c r="F56" s="201" t="n"/>
      <c r="G56" s="208" t="n"/>
      <c r="H56" s="201" t="n"/>
      <c r="I56" s="201" t="n"/>
      <c r="J56" s="209" t="n"/>
    </row>
    <row r="57" ht="14.25" customHeight="1" s="220">
      <c r="A57" s="568" t="n"/>
      <c r="B57" s="201" t="n"/>
      <c r="C57" s="206">
        <f>IF(B57=0,0,B57-B56)</f>
        <v/>
      </c>
      <c r="D57" s="201" t="n"/>
      <c r="E57" s="207">
        <f>IF(D57=0,0,C57/D57)</f>
        <v/>
      </c>
      <c r="F57" s="201" t="n"/>
      <c r="G57" s="208" t="n"/>
      <c r="H57" s="201" t="n"/>
      <c r="I57" s="201" t="n"/>
      <c r="J57" s="209" t="n"/>
    </row>
    <row r="58" ht="14.25" customHeight="1" s="220">
      <c r="A58" s="568" t="n"/>
      <c r="B58" s="201" t="n"/>
      <c r="C58" s="206">
        <f>IF(B58=0,0,B58-B57)</f>
        <v/>
      </c>
      <c r="D58" s="201" t="n"/>
      <c r="E58" s="207">
        <f>IF(D58=0,0,C58/D58)</f>
        <v/>
      </c>
      <c r="F58" s="201" t="n"/>
      <c r="G58" s="208" t="n"/>
      <c r="H58" s="201" t="n"/>
      <c r="I58" s="201" t="n"/>
      <c r="J58" s="209" t="n"/>
    </row>
    <row r="59" ht="14.25" customHeight="1" s="220">
      <c r="A59" s="568" t="n"/>
      <c r="B59" s="201" t="n"/>
      <c r="C59" s="206">
        <f>IF(B59=0,0,B59-B58)</f>
        <v/>
      </c>
      <c r="D59" s="201" t="n"/>
      <c r="E59" s="207">
        <f>IF(D59=0,0,C59/D59)</f>
        <v/>
      </c>
      <c r="F59" s="201" t="n"/>
      <c r="G59" s="208" t="n"/>
      <c r="H59" s="201" t="n"/>
      <c r="I59" s="201" t="n"/>
      <c r="J59" s="209" t="n"/>
    </row>
    <row r="60" ht="14.25" customHeight="1" s="220">
      <c r="A60" s="568" t="n"/>
      <c r="B60" s="201" t="n"/>
      <c r="C60" s="206">
        <f>IF(B60=0,0,B60-B59)</f>
        <v/>
      </c>
      <c r="D60" s="201" t="n"/>
      <c r="E60" s="207">
        <f>IF(D60=0,0,C60/D60)</f>
        <v/>
      </c>
      <c r="F60" s="201" t="n"/>
      <c r="G60" s="208" t="n"/>
      <c r="H60" s="201" t="n"/>
      <c r="I60" s="201" t="n"/>
      <c r="J60" s="209" t="n"/>
    </row>
    <row r="61" ht="14.25" customHeight="1" s="220">
      <c r="A61" s="568" t="n"/>
      <c r="B61" s="201" t="n"/>
      <c r="C61" s="206">
        <f>IF(B61=0,0,B61-B60)</f>
        <v/>
      </c>
      <c r="D61" s="201" t="n"/>
      <c r="E61" s="207">
        <f>IF(D61=0,0,C61/D61)</f>
        <v/>
      </c>
      <c r="F61" s="201" t="n"/>
      <c r="G61" s="208" t="n"/>
      <c r="H61" s="201" t="n"/>
      <c r="I61" s="201" t="n"/>
      <c r="J61" s="209" t="n"/>
    </row>
    <row r="62" ht="14.25" customHeight="1" s="220">
      <c r="A62" s="568" t="n"/>
      <c r="B62" s="201" t="n"/>
      <c r="C62" s="206">
        <f>IF(B62=0,0,B62-B61)</f>
        <v/>
      </c>
      <c r="D62" s="201" t="n"/>
      <c r="E62" s="207">
        <f>IF(D62=0,0,C62/D62)</f>
        <v/>
      </c>
      <c r="F62" s="201" t="n"/>
      <c r="G62" s="208" t="n"/>
      <c r="H62" s="201" t="n"/>
      <c r="I62" s="201" t="n"/>
      <c r="J62" s="209" t="n"/>
    </row>
    <row r="63" ht="14.25" customHeight="1" s="220">
      <c r="A63" s="568" t="n"/>
      <c r="B63" s="201" t="n"/>
      <c r="C63" s="206">
        <f>IF(B63=0,0,B63-B62)</f>
        <v/>
      </c>
      <c r="D63" s="201" t="n"/>
      <c r="E63" s="207">
        <f>IF(D63=0,0,C63/D63)</f>
        <v/>
      </c>
      <c r="F63" s="201" t="n"/>
      <c r="G63" s="208" t="n"/>
      <c r="H63" s="201" t="n"/>
      <c r="I63" s="201" t="n"/>
      <c r="J63" s="209" t="n"/>
    </row>
    <row r="64" ht="14.25" customHeight="1" s="220">
      <c r="A64" s="568" t="n"/>
      <c r="B64" s="201" t="n"/>
      <c r="C64" s="206">
        <f>IF(B64=0,0,B64-B63)</f>
        <v/>
      </c>
      <c r="D64" s="201" t="n"/>
      <c r="E64" s="207">
        <f>IF(D64=0,0,C64/D64)</f>
        <v/>
      </c>
      <c r="F64" s="201" t="n"/>
      <c r="G64" s="208" t="n"/>
      <c r="H64" s="201" t="n"/>
      <c r="I64" s="201" t="n"/>
      <c r="J64" s="209" t="n"/>
    </row>
    <row r="65" ht="14.25" customHeight="1" s="220">
      <c r="A65" s="568" t="n"/>
      <c r="B65" s="201" t="n"/>
      <c r="C65" s="206">
        <f>IF(B65=0,0,B65-B64)</f>
        <v/>
      </c>
      <c r="D65" s="201" t="n"/>
      <c r="E65" s="207">
        <f>IF(D65=0,0,C65/D65)</f>
        <v/>
      </c>
      <c r="F65" s="201" t="n"/>
      <c r="G65" s="208" t="n"/>
      <c r="H65" s="201" t="n"/>
      <c r="I65" s="201" t="n"/>
      <c r="J65" s="209" t="n"/>
    </row>
    <row r="66" ht="14.25" customHeight="1" s="220">
      <c r="A66" s="568" t="n"/>
      <c r="B66" s="201" t="n"/>
      <c r="C66" s="206">
        <f>IF(B66=0,0,B66-B65)</f>
        <v/>
      </c>
      <c r="D66" s="201" t="n"/>
      <c r="E66" s="207">
        <f>IF(D66=0,0,C66/D66)</f>
        <v/>
      </c>
      <c r="F66" s="201" t="n"/>
      <c r="G66" s="208" t="n"/>
      <c r="H66" s="201" t="n"/>
      <c r="I66" s="201" t="n"/>
      <c r="J66" s="209" t="n"/>
    </row>
    <row r="67" ht="14.25" customHeight="1" s="220">
      <c r="A67" s="568" t="n"/>
      <c r="B67" s="201" t="n"/>
      <c r="C67" s="206">
        <f>IF(B67=0,0,B67-B66)</f>
        <v/>
      </c>
      <c r="D67" s="201" t="n"/>
      <c r="E67" s="207">
        <f>IF(D67=0,0,C67/D67)</f>
        <v/>
      </c>
      <c r="F67" s="201" t="n"/>
      <c r="G67" s="208" t="n"/>
      <c r="H67" s="201" t="n"/>
      <c r="I67" s="201" t="n"/>
      <c r="J67" s="209" t="n"/>
    </row>
    <row r="68" ht="14.25" customHeight="1" s="220">
      <c r="A68" s="568" t="n"/>
      <c r="B68" s="201" t="n"/>
      <c r="C68" s="206">
        <f>IF(B68=0,0,B68-B67)</f>
        <v/>
      </c>
      <c r="D68" s="201" t="n"/>
      <c r="E68" s="207">
        <f>IF(D68=0,0,C68/D68)</f>
        <v/>
      </c>
      <c r="F68" s="201" t="n"/>
      <c r="G68" s="208" t="n"/>
      <c r="H68" s="201" t="n"/>
      <c r="I68" s="201" t="n"/>
      <c r="J68" s="209" t="n"/>
    </row>
    <row r="69" ht="14.25" customHeight="1" s="220">
      <c r="A69" s="568" t="n"/>
      <c r="B69" s="201" t="n"/>
      <c r="C69" s="206">
        <f>IF(B69=0,0,B69-B68)</f>
        <v/>
      </c>
      <c r="D69" s="201" t="n"/>
      <c r="E69" s="207">
        <f>IF(D69=0,0,C69/D69)</f>
        <v/>
      </c>
      <c r="F69" s="201" t="n"/>
      <c r="G69" s="208" t="n"/>
      <c r="H69" s="201" t="n"/>
      <c r="I69" s="201" t="n"/>
      <c r="J69" s="209" t="n"/>
    </row>
    <row r="70" ht="14.25" customHeight="1" s="220">
      <c r="A70" s="568" t="n"/>
      <c r="B70" s="201" t="n"/>
      <c r="C70" s="206">
        <f>IF(B70=0,0,B70-B69)</f>
        <v/>
      </c>
      <c r="D70" s="201" t="n"/>
      <c r="E70" s="207">
        <f>IF(D70=0,0,C70/D70)</f>
        <v/>
      </c>
      <c r="F70" s="201" t="n"/>
      <c r="G70" s="208" t="n"/>
      <c r="H70" s="201" t="n"/>
      <c r="I70" s="201" t="n"/>
      <c r="J70" s="209" t="n"/>
    </row>
    <row r="71" ht="14.25" customHeight="1" s="220">
      <c r="A71" s="568" t="n"/>
      <c r="B71" s="201" t="n"/>
      <c r="C71" s="206">
        <f>IF(B71=0,0,B71-B70)</f>
        <v/>
      </c>
      <c r="D71" s="201" t="n"/>
      <c r="E71" s="207">
        <f>IF(D71=0,0,C71/D71)</f>
        <v/>
      </c>
      <c r="F71" s="201" t="n"/>
      <c r="G71" s="208" t="n"/>
      <c r="H71" s="201" t="n"/>
      <c r="I71" s="201" t="n"/>
      <c r="J71" s="209" t="n"/>
    </row>
    <row r="72" ht="14.25" customHeight="1" s="220">
      <c r="A72" s="568" t="n"/>
      <c r="B72" s="201" t="n"/>
      <c r="C72" s="206">
        <f>IF(B72=0,0,B72-B71)</f>
        <v/>
      </c>
      <c r="D72" s="201" t="n"/>
      <c r="E72" s="207">
        <f>IF(D72=0,0,C72/D72)</f>
        <v/>
      </c>
      <c r="F72" s="201" t="n"/>
      <c r="G72" s="208" t="n"/>
      <c r="H72" s="201" t="n"/>
      <c r="I72" s="201" t="n"/>
      <c r="J72" s="209" t="n"/>
    </row>
    <row r="73" ht="14.25" customHeight="1" s="220">
      <c r="A73" s="568" t="n"/>
      <c r="B73" s="201" t="n"/>
      <c r="C73" s="206">
        <f>IF(B73=0,0,B73-B72)</f>
        <v/>
      </c>
      <c r="D73" s="201" t="n"/>
      <c r="E73" s="207">
        <f>IF(D73=0,0,C73/D73)</f>
        <v/>
      </c>
      <c r="F73" s="201" t="n"/>
      <c r="G73" s="208" t="n"/>
      <c r="H73" s="201" t="n"/>
      <c r="I73" s="201" t="n"/>
      <c r="J73" s="209" t="n"/>
    </row>
    <row r="74" ht="14.25" customHeight="1" s="220">
      <c r="A74" s="568" t="n"/>
      <c r="B74" s="201" t="n"/>
      <c r="C74" s="206">
        <f>IF(B74=0,0,B74-B73)</f>
        <v/>
      </c>
      <c r="D74" s="201" t="n"/>
      <c r="E74" s="207">
        <f>IF(D74=0,0,C74/D74)</f>
        <v/>
      </c>
      <c r="F74" s="201" t="n"/>
      <c r="G74" s="208" t="n"/>
      <c r="H74" s="201" t="n"/>
      <c r="I74" s="201" t="n"/>
      <c r="J74" s="209" t="n"/>
    </row>
    <row r="75" ht="14.25" customHeight="1" s="220">
      <c r="A75" s="568" t="n"/>
      <c r="B75" s="201" t="n"/>
      <c r="C75" s="206">
        <f>IF(B75=0,0,B75-B74)</f>
        <v/>
      </c>
      <c r="D75" s="201" t="n"/>
      <c r="E75" s="207">
        <f>IF(D75=0,0,C75/D75)</f>
        <v/>
      </c>
      <c r="F75" s="201" t="n"/>
      <c r="G75" s="208" t="n"/>
      <c r="H75" s="201" t="n"/>
      <c r="I75" s="201" t="n"/>
      <c r="J75" s="209" t="n"/>
    </row>
    <row r="76" ht="14.25" customHeight="1" s="220">
      <c r="A76" s="568" t="n"/>
      <c r="B76" s="201" t="n"/>
      <c r="C76" s="206">
        <f>IF(B76=0,0,B76-B75)</f>
        <v/>
      </c>
      <c r="D76" s="201" t="n"/>
      <c r="E76" s="207">
        <f>IF(D76=0,0,C76/D76)</f>
        <v/>
      </c>
      <c r="F76" s="201" t="n"/>
      <c r="G76" s="208" t="n"/>
      <c r="H76" s="201" t="n"/>
      <c r="I76" s="201" t="n"/>
      <c r="J76" s="209" t="n"/>
    </row>
    <row r="77" ht="14.25" customHeight="1" s="220">
      <c r="A77" s="568" t="n"/>
      <c r="B77" s="201" t="n"/>
      <c r="C77" s="206">
        <f>IF(B77=0,0,B77-B76)</f>
        <v/>
      </c>
      <c r="D77" s="201" t="n"/>
      <c r="E77" s="207">
        <f>IF(D77=0,0,C77/D77)</f>
        <v/>
      </c>
      <c r="F77" s="201" t="n"/>
      <c r="G77" s="208" t="n"/>
      <c r="H77" s="201" t="n"/>
      <c r="I77" s="201" t="n"/>
      <c r="J77" s="209" t="n"/>
    </row>
    <row r="78" ht="14.25" customHeight="1" s="220">
      <c r="A78" s="568" t="n"/>
      <c r="B78" s="201" t="n"/>
      <c r="C78" s="206">
        <f>IF(B78=0,0,B78-B77)</f>
        <v/>
      </c>
      <c r="D78" s="201" t="n"/>
      <c r="E78" s="207">
        <f>IF(D78=0,0,C78/D78)</f>
        <v/>
      </c>
      <c r="F78" s="201" t="n"/>
      <c r="G78" s="208" t="n"/>
      <c r="H78" s="201" t="n"/>
      <c r="I78" s="201" t="n"/>
      <c r="J78" s="209" t="n"/>
    </row>
    <row r="79" ht="14.25" customHeight="1" s="220">
      <c r="A79" s="568" t="n"/>
      <c r="B79" s="201" t="n"/>
      <c r="C79" s="206">
        <f>IF(B79=0,0,B79-B78)</f>
        <v/>
      </c>
      <c r="D79" s="201" t="n"/>
      <c r="E79" s="207">
        <f>IF(D79=0,0,C79/D79)</f>
        <v/>
      </c>
      <c r="F79" s="201" t="n"/>
      <c r="G79" s="208" t="n"/>
      <c r="H79" s="201" t="n"/>
      <c r="I79" s="201" t="n"/>
      <c r="J79" s="209" t="n"/>
    </row>
    <row r="80" ht="14.25" customHeight="1" s="220">
      <c r="A80" s="568" t="n"/>
      <c r="B80" s="201" t="n"/>
      <c r="C80" s="206">
        <f>IF(B80=0,0,B80-B79)</f>
        <v/>
      </c>
      <c r="D80" s="201" t="n"/>
      <c r="E80" s="207">
        <f>IF(D80=0,0,C80/D80)</f>
        <v/>
      </c>
      <c r="F80" s="201" t="n"/>
      <c r="G80" s="208" t="n"/>
      <c r="H80" s="201" t="n"/>
      <c r="I80" s="201" t="n"/>
      <c r="J80" s="209" t="n"/>
    </row>
    <row r="81" ht="14.25" customHeight="1" s="220">
      <c r="A81" s="568" t="n"/>
      <c r="B81" s="201" t="n"/>
      <c r="C81" s="206">
        <f>IF(B81=0,0,B81-B80)</f>
        <v/>
      </c>
      <c r="D81" s="201" t="n"/>
      <c r="E81" s="207">
        <f>IF(D81=0,0,C81/D81)</f>
        <v/>
      </c>
      <c r="F81" s="201" t="n"/>
      <c r="G81" s="208" t="n"/>
      <c r="H81" s="201" t="n"/>
      <c r="I81" s="201" t="n"/>
      <c r="J81" s="209" t="n"/>
    </row>
    <row r="82" ht="14.25" customHeight="1" s="220">
      <c r="A82" s="568" t="n"/>
      <c r="B82" s="201" t="n"/>
      <c r="C82" s="206">
        <f>IF(B82=0,0,B82-B81)</f>
        <v/>
      </c>
      <c r="D82" s="201" t="n"/>
      <c r="E82" s="207">
        <f>IF(D82=0,0,C82/D82)</f>
        <v/>
      </c>
      <c r="F82" s="201" t="n"/>
      <c r="G82" s="208" t="n"/>
      <c r="H82" s="201" t="n"/>
      <c r="I82" s="201" t="n"/>
      <c r="J82" s="209" t="n"/>
    </row>
    <row r="83" ht="14.25" customHeight="1" s="220">
      <c r="A83" s="568" t="n"/>
      <c r="B83" s="201" t="n"/>
      <c r="C83" s="206">
        <f>IF(B83=0,0,B83-B82)</f>
        <v/>
      </c>
      <c r="D83" s="201" t="n"/>
      <c r="E83" s="207">
        <f>IF(D83=0,0,C83/D83)</f>
        <v/>
      </c>
      <c r="F83" s="201" t="n"/>
      <c r="G83" s="208" t="n"/>
      <c r="H83" s="201" t="n"/>
      <c r="I83" s="201" t="n"/>
      <c r="J83" s="209" t="n"/>
    </row>
    <row r="84" ht="14.25" customHeight="1" s="220">
      <c r="A84" s="568" t="n"/>
      <c r="B84" s="201" t="n"/>
      <c r="C84" s="206">
        <f>IF(B84=0,0,B84-B83)</f>
        <v/>
      </c>
      <c r="D84" s="201" t="n"/>
      <c r="E84" s="207">
        <f>IF(D84=0,0,C84/D84)</f>
        <v/>
      </c>
      <c r="F84" s="201" t="n"/>
      <c r="G84" s="208" t="n"/>
      <c r="H84" s="201" t="n"/>
      <c r="I84" s="201" t="n"/>
      <c r="J84" s="209" t="n"/>
    </row>
    <row r="85" ht="14.25" customHeight="1" s="220">
      <c r="A85" s="568" t="n"/>
      <c r="B85" s="201" t="n"/>
      <c r="C85" s="206">
        <f>IF(B85=0,0,B85-B84)</f>
        <v/>
      </c>
      <c r="D85" s="201" t="n"/>
      <c r="E85" s="207">
        <f>IF(D85=0,0,C85/D85)</f>
        <v/>
      </c>
      <c r="F85" s="201" t="n"/>
      <c r="G85" s="208" t="n"/>
      <c r="H85" s="201" t="n"/>
      <c r="I85" s="201" t="n"/>
      <c r="J85" s="209" t="n"/>
    </row>
    <row r="86" ht="14.25" customHeight="1" s="220">
      <c r="A86" s="568" t="n"/>
      <c r="B86" s="201" t="n"/>
      <c r="C86" s="206">
        <f>IF(B86=0,0,B86-B85)</f>
        <v/>
      </c>
      <c r="D86" s="201" t="n"/>
      <c r="E86" s="207">
        <f>IF(D86=0,0,C86/D86)</f>
        <v/>
      </c>
      <c r="F86" s="201" t="n"/>
      <c r="G86" s="208" t="n"/>
      <c r="H86" s="201" t="n"/>
      <c r="I86" s="201" t="n"/>
      <c r="J86" s="209" t="n"/>
    </row>
    <row r="87" ht="14.25" customHeight="1" s="220">
      <c r="A87" s="568" t="n"/>
      <c r="B87" s="201" t="n"/>
      <c r="C87" s="206">
        <f>IF(B87=0,0,B87-B86)</f>
        <v/>
      </c>
      <c r="D87" s="201" t="n"/>
      <c r="E87" s="207">
        <f>IF(D87=0,0,C87/D87)</f>
        <v/>
      </c>
      <c r="F87" s="201" t="n"/>
      <c r="G87" s="208" t="n"/>
      <c r="H87" s="201" t="n"/>
      <c r="I87" s="201" t="n"/>
      <c r="J87" s="209" t="n"/>
    </row>
    <row r="88" ht="14.25" customHeight="1" s="220">
      <c r="A88" s="568" t="n"/>
      <c r="B88" s="201" t="n"/>
      <c r="C88" s="206">
        <f>IF(B88=0,0,B88-B87)</f>
        <v/>
      </c>
      <c r="D88" s="201" t="n"/>
      <c r="E88" s="207">
        <f>IF(D88=0,0,C88/D88)</f>
        <v/>
      </c>
      <c r="F88" s="201" t="n"/>
      <c r="G88" s="208" t="n"/>
      <c r="H88" s="201" t="n"/>
      <c r="I88" s="201" t="n"/>
      <c r="J88" s="209" t="n"/>
    </row>
    <row r="89" ht="14.25" customHeight="1" s="220">
      <c r="A89" s="568" t="n"/>
      <c r="B89" s="201" t="n"/>
      <c r="C89" s="206">
        <f>IF(B89=0,0,B89-B88)</f>
        <v/>
      </c>
      <c r="D89" s="201" t="n"/>
      <c r="E89" s="207">
        <f>IF(D89=0,0,C89/D89)</f>
        <v/>
      </c>
      <c r="F89" s="201" t="n"/>
      <c r="G89" s="208" t="n"/>
      <c r="H89" s="201" t="n"/>
      <c r="I89" s="201" t="n"/>
      <c r="J89" s="209" t="n"/>
    </row>
    <row r="90" ht="14.25" customHeight="1" s="220">
      <c r="A90" s="568" t="n"/>
      <c r="B90" s="201" t="n"/>
      <c r="C90" s="206">
        <f>IF(B90=0,0,B90-B89)</f>
        <v/>
      </c>
      <c r="D90" s="201" t="n"/>
      <c r="E90" s="207">
        <f>IF(D90=0,0,C90/D90)</f>
        <v/>
      </c>
      <c r="F90" s="201" t="n"/>
      <c r="G90" s="208" t="n"/>
      <c r="H90" s="201" t="n"/>
      <c r="I90" s="201" t="n"/>
      <c r="J90" s="209" t="n"/>
    </row>
  </sheetData>
  <mergeCells count="7">
    <mergeCell ref="A3:J3"/>
    <mergeCell ref="A5:A6"/>
    <mergeCell ref="B5:B6"/>
    <mergeCell ref="C5:C6"/>
    <mergeCell ref="D5:D6"/>
    <mergeCell ref="E5:E6"/>
    <mergeCell ref="J5:J6"/>
  </mergeCells>
  <pageMargins left="0.7" right="0.7" top="0.75" bottom="0.75" header="0.3" footer="0.3"/>
</worksheet>
</file>

<file path=xl/worksheets/sheet18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V37"/>
  <sheetViews>
    <sheetView workbookViewId="0">
      <selection activeCell="Q19" sqref="Q19"/>
    </sheetView>
  </sheetViews>
  <sheetFormatPr baseColWidth="8" defaultRowHeight="12.75"/>
  <cols>
    <col width="14.85546875" customWidth="1" style="220" min="1" max="1"/>
    <col width="9.7109375" customWidth="1" style="220" min="2" max="2"/>
    <col width="9" customWidth="1" style="220" min="3" max="3"/>
    <col width="9.85546875" customWidth="1" style="220" min="4" max="4"/>
    <col width="6.5703125" customWidth="1" style="220" min="6" max="6"/>
    <col width="11" customWidth="1" style="220" min="7" max="7"/>
  </cols>
  <sheetData>
    <row r="1" ht="23.25" customHeight="1" s="220">
      <c r="A1" s="570" t="inlineStr">
        <is>
          <t>WELLSITE LOGGING REPORT</t>
        </is>
      </c>
      <c r="B1" s="225" t="n"/>
      <c r="C1" s="225" t="n"/>
      <c r="D1" s="225" t="n"/>
      <c r="E1" s="225" t="n"/>
      <c r="F1" s="225" t="n"/>
      <c r="G1" s="225" t="n"/>
      <c r="H1" s="225" t="n"/>
      <c r="I1" s="225" t="n"/>
      <c r="J1" s="168" t="n"/>
      <c r="K1" s="241" t="n"/>
      <c r="L1" s="241" t="n"/>
      <c r="M1" s="241" t="n"/>
      <c r="N1" s="241" t="n"/>
      <c r="O1" s="241" t="n"/>
      <c r="P1" s="241" t="n"/>
      <c r="Q1" s="241" t="n"/>
      <c r="R1" s="241" t="n"/>
      <c r="S1" s="241" t="n"/>
      <c r="T1" s="241" t="n"/>
      <c r="U1" s="241" t="n"/>
      <c r="V1" s="241" t="n"/>
    </row>
    <row r="2" ht="15" customHeight="1" s="220">
      <c r="A2" s="439" t="n"/>
      <c r="O2" s="162" t="n"/>
      <c r="P2" s="162" t="inlineStr">
        <is>
          <t>Just a reminder to please:</t>
        </is>
      </c>
      <c r="Q2" s="162" t="n"/>
      <c r="R2" s="162" t="n"/>
    </row>
    <row r="3" ht="15" customHeight="1" s="220">
      <c r="A3" s="439" t="inlineStr">
        <is>
          <t>**Please do not add or remove any columns**</t>
        </is>
      </c>
      <c r="O3" s="240" t="inlineStr">
        <is>
          <t>1.</t>
        </is>
      </c>
      <c r="P3" s="126" t="inlineStr">
        <is>
          <t>send in the license and any amendments with the final report files</t>
        </is>
      </c>
    </row>
    <row r="4" ht="15" customHeight="1" s="220">
      <c r="A4" s="439" t="n"/>
      <c r="O4" s="240" t="inlineStr">
        <is>
          <t>2.</t>
        </is>
      </c>
      <c r="P4" s="126" t="inlineStr">
        <is>
          <t>submit the directional surveys in txt or excel format (no PDFs)</t>
        </is>
      </c>
    </row>
    <row r="5" ht="14.25" customHeight="1" s="220">
      <c r="A5" s="441" t="inlineStr">
        <is>
          <t>Hole Data</t>
        </is>
      </c>
      <c r="B5" s="571" t="n"/>
      <c r="C5" s="572" t="n"/>
      <c r="D5" s="573" t="inlineStr">
        <is>
          <t>Mud Data</t>
        </is>
      </c>
      <c r="E5" s="571" t="n"/>
      <c r="F5" s="572" t="n"/>
      <c r="G5" s="440" t="inlineStr">
        <is>
          <t>Logging Company</t>
        </is>
      </c>
      <c r="H5" s="571" t="n"/>
      <c r="I5" s="571" t="n"/>
      <c r="J5" s="20" t="n"/>
      <c r="K5" s="20" t="n"/>
      <c r="L5" s="20" t="n"/>
      <c r="M5" s="20" t="n"/>
      <c r="N5" s="20" t="n"/>
      <c r="O5" s="20" t="n"/>
      <c r="P5" s="20" t="n"/>
      <c r="Q5" s="20" t="n"/>
      <c r="R5" s="20" t="n"/>
      <c r="S5" s="20" t="n"/>
      <c r="T5" s="20" t="n"/>
      <c r="U5" s="20" t="n"/>
      <c r="V5" s="20" t="n"/>
    </row>
    <row r="6">
      <c r="A6" s="490" t="inlineStr">
        <is>
          <t>Hole Size:</t>
        </is>
      </c>
      <c r="B6" s="574" t="n"/>
      <c r="C6" s="575" t="n"/>
      <c r="D6" s="242" t="inlineStr">
        <is>
          <t>Type:</t>
        </is>
      </c>
      <c r="E6" s="445" t="n"/>
      <c r="F6" s="575" t="n"/>
      <c r="G6" s="490" t="inlineStr">
        <is>
          <t>Logging Co.:</t>
        </is>
      </c>
      <c r="H6" s="408" t="n"/>
      <c r="I6" s="225" t="n"/>
    </row>
    <row r="7">
      <c r="A7" s="490" t="inlineStr">
        <is>
          <t>TD Driller:</t>
        </is>
      </c>
      <c r="B7" s="576" t="n"/>
      <c r="C7" s="575" t="n"/>
      <c r="D7" s="242" t="inlineStr">
        <is>
          <t>Density:</t>
        </is>
      </c>
      <c r="E7" s="445" t="n"/>
      <c r="F7" s="575" t="n"/>
      <c r="G7" s="490" t="inlineStr">
        <is>
          <t>Engineer:</t>
        </is>
      </c>
      <c r="H7" s="408" t="n"/>
      <c r="I7" s="225" t="n"/>
    </row>
    <row r="8">
      <c r="A8" s="490" t="inlineStr">
        <is>
          <t>Strap:</t>
        </is>
      </c>
      <c r="B8" s="576" t="n"/>
      <c r="C8" s="575" t="n"/>
      <c r="D8" s="242" t="inlineStr">
        <is>
          <t>Viscosity:</t>
        </is>
      </c>
      <c r="E8" s="445" t="n"/>
      <c r="F8" s="575" t="n"/>
      <c r="G8" s="490" t="inlineStr">
        <is>
          <t>Truck No.:</t>
        </is>
      </c>
      <c r="H8" s="408" t="n"/>
      <c r="I8" s="225" t="n"/>
    </row>
    <row r="9">
      <c r="A9" s="490" t="inlineStr">
        <is>
          <t>TD Logger:</t>
        </is>
      </c>
      <c r="B9" s="576" t="n"/>
      <c r="C9" s="575" t="n"/>
      <c r="D9" s="242" t="inlineStr">
        <is>
          <t>W.L.:</t>
        </is>
      </c>
      <c r="E9" s="445" t="n"/>
      <c r="F9" s="575" t="n"/>
      <c r="G9" s="490" t="inlineStr">
        <is>
          <t>Start Date:</t>
        </is>
      </c>
      <c r="H9" s="448" t="n"/>
      <c r="I9" s="225" t="n"/>
    </row>
    <row r="10">
      <c r="A10" s="490" t="inlineStr">
        <is>
          <t>Casing Driller:</t>
        </is>
      </c>
      <c r="B10" s="576" t="n"/>
      <c r="C10" s="575" t="n"/>
      <c r="D10" s="242" t="inlineStr">
        <is>
          <t>pH:</t>
        </is>
      </c>
      <c r="E10" s="445" t="n"/>
      <c r="F10" s="575" t="n"/>
      <c r="G10" s="490" t="inlineStr">
        <is>
          <t>Start Time:</t>
        </is>
      </c>
      <c r="H10" s="577" t="n"/>
      <c r="I10" s="225" t="n"/>
    </row>
    <row r="11">
      <c r="A11" s="490" t="inlineStr">
        <is>
          <t>Casing Logger:</t>
        </is>
      </c>
      <c r="B11" s="576" t="n"/>
      <c r="C11" s="575" t="n"/>
      <c r="D11" s="243" t="n"/>
      <c r="E11" s="445" t="n"/>
      <c r="F11" s="575" t="n"/>
      <c r="G11" s="490" t="inlineStr">
        <is>
          <t>End Date:</t>
        </is>
      </c>
      <c r="H11" s="448" t="n"/>
      <c r="I11" s="225" t="n"/>
    </row>
    <row r="12">
      <c r="A12" s="490" t="inlineStr">
        <is>
          <t>Hole Condition:</t>
        </is>
      </c>
      <c r="B12" s="451" t="n"/>
      <c r="C12" s="575" t="n"/>
      <c r="D12" s="244" t="n"/>
      <c r="E12" s="445" t="n"/>
      <c r="F12" s="575" t="n"/>
      <c r="G12" s="490" t="inlineStr">
        <is>
          <t>End Time:</t>
        </is>
      </c>
      <c r="H12" s="577" t="n"/>
      <c r="I12" s="225" t="n"/>
    </row>
    <row r="13" ht="14.25" customHeight="1" s="220">
      <c r="A13" s="452" t="inlineStr">
        <is>
          <t>Logging Sequence</t>
        </is>
      </c>
      <c r="B13" s="571" t="n"/>
      <c r="C13" s="571" t="n"/>
      <c r="D13" s="571" t="n"/>
      <c r="E13" s="571" t="n"/>
      <c r="F13" s="571" t="n"/>
      <c r="G13" s="571" t="n"/>
      <c r="H13" s="571" t="n"/>
      <c r="I13" s="571" t="n"/>
      <c r="J13" s="20" t="n"/>
      <c r="K13" s="20" t="n"/>
      <c r="L13" s="20" t="n"/>
      <c r="M13" s="20" t="n"/>
      <c r="N13" s="20" t="n"/>
      <c r="O13" s="20" t="n"/>
      <c r="P13" s="20" t="n"/>
      <c r="Q13" s="20" t="n"/>
      <c r="R13" s="20" t="n"/>
      <c r="S13" s="20" t="n"/>
      <c r="T13" s="20" t="n"/>
      <c r="U13" s="20" t="n"/>
      <c r="V13" s="20" t="n"/>
    </row>
    <row r="14">
      <c r="A14" s="245" t="n"/>
      <c r="B14" s="453" t="inlineStr">
        <is>
          <t>Logged Interval</t>
        </is>
      </c>
      <c r="C14" s="525" t="n"/>
      <c r="D14" s="246" t="n"/>
      <c r="E14" s="455" t="n"/>
      <c r="F14" s="578" t="n"/>
      <c r="G14" s="579" t="n"/>
      <c r="H14" s="455" t="n"/>
      <c r="I14" s="579" t="n"/>
    </row>
    <row r="15">
      <c r="A15" s="247" t="inlineStr">
        <is>
          <t>Run Number</t>
        </is>
      </c>
      <c r="B15" s="248" t="inlineStr">
        <is>
          <t>From</t>
        </is>
      </c>
      <c r="C15" s="249" t="inlineStr">
        <is>
          <t>To</t>
        </is>
      </c>
      <c r="D15" s="221" t="inlineStr">
        <is>
          <t>Hours</t>
        </is>
      </c>
      <c r="E15" s="453" t="inlineStr">
        <is>
          <t>Logs</t>
        </is>
      </c>
      <c r="F15" s="506" t="n"/>
      <c r="G15" s="525" t="n"/>
      <c r="H15" s="460" t="inlineStr">
        <is>
          <t>Remarks</t>
        </is>
      </c>
      <c r="I15" s="525" t="n"/>
    </row>
    <row r="16">
      <c r="A16" s="250" t="n"/>
      <c r="B16" s="580" t="n"/>
      <c r="C16" s="581" t="n"/>
      <c r="D16" s="253" t="n"/>
      <c r="E16" s="462" t="n"/>
      <c r="F16" s="582" t="n"/>
      <c r="G16" s="583" t="n"/>
      <c r="H16" s="462" t="n"/>
      <c r="I16" s="583" t="n"/>
    </row>
    <row r="17">
      <c r="A17" s="254" t="n"/>
      <c r="B17" s="584" t="n"/>
      <c r="C17" s="585" t="n"/>
      <c r="D17" s="257" t="n"/>
      <c r="E17" s="466" t="n"/>
      <c r="F17" s="536" t="n"/>
      <c r="G17" s="586" t="n"/>
      <c r="H17" s="466" t="n"/>
      <c r="I17" s="586" t="n"/>
    </row>
    <row r="18">
      <c r="A18" s="258" t="n"/>
      <c r="B18" s="587" t="n"/>
      <c r="C18" s="588" t="n"/>
      <c r="D18" s="261" t="n"/>
      <c r="E18" s="466" t="n"/>
      <c r="F18" s="536" t="n"/>
      <c r="G18" s="586" t="n"/>
      <c r="H18" s="466" t="n"/>
      <c r="I18" s="586" t="n"/>
    </row>
    <row r="19">
      <c r="A19" s="258" t="n"/>
      <c r="B19" s="584" t="n"/>
      <c r="C19" s="585" t="n"/>
      <c r="D19" s="257" t="n"/>
      <c r="E19" s="466" t="n"/>
      <c r="F19" s="536" t="n"/>
      <c r="G19" s="586" t="n"/>
      <c r="H19" s="466" t="n"/>
      <c r="I19" s="586" t="n"/>
    </row>
    <row r="20">
      <c r="A20" s="258" t="n"/>
      <c r="B20" s="584" t="n"/>
      <c r="C20" s="585" t="n"/>
      <c r="D20" s="257" t="n"/>
      <c r="E20" s="589" t="n"/>
      <c r="F20" s="536" t="n"/>
      <c r="G20" s="590" t="n"/>
      <c r="H20" s="472" t="n"/>
      <c r="I20" s="536" t="n"/>
    </row>
    <row r="21">
      <c r="A21" s="262" t="n"/>
      <c r="B21" s="591" t="n"/>
      <c r="C21" s="592" t="n"/>
      <c r="D21" s="265" t="n"/>
      <c r="E21" s="475" t="n"/>
      <c r="F21" s="593" t="n"/>
      <c r="G21" s="594" t="n"/>
      <c r="H21" s="475" t="n"/>
      <c r="I21" s="594" t="n"/>
    </row>
    <row r="22">
      <c r="A22" s="266" t="n"/>
      <c r="B22" s="479" t="inlineStr">
        <is>
          <t>Total Hours:</t>
        </is>
      </c>
      <c r="C22" s="516" t="n"/>
      <c r="D22" s="267">
        <f>SUM(D16:D21)</f>
        <v/>
      </c>
      <c r="E22" s="595" t="n"/>
      <c r="F22" s="516" t="n"/>
      <c r="G22" s="266" t="n"/>
      <c r="H22" s="481" t="n"/>
      <c r="I22" s="516" t="n"/>
    </row>
    <row r="23" ht="14.25" customHeight="1" s="220">
      <c r="A23" s="452" t="inlineStr">
        <is>
          <t>Logging Operations Summary</t>
        </is>
      </c>
      <c r="B23" s="571" t="n"/>
      <c r="C23" s="571" t="n"/>
      <c r="D23" s="571" t="n"/>
      <c r="E23" s="571" t="n"/>
      <c r="F23" s="571" t="n"/>
      <c r="G23" s="571" t="n"/>
      <c r="H23" s="571" t="n"/>
      <c r="I23" s="571" t="n"/>
      <c r="J23" s="20" t="n"/>
      <c r="K23" s="20" t="n"/>
      <c r="L23" s="20" t="n"/>
      <c r="M23" s="20" t="n"/>
      <c r="N23" s="20" t="n"/>
      <c r="O23" s="20" t="n"/>
      <c r="P23" s="20" t="n"/>
      <c r="Q23" s="20" t="n"/>
      <c r="R23" s="20" t="n"/>
      <c r="S23" s="20" t="n"/>
      <c r="T23" s="20" t="n"/>
      <c r="U23" s="20" t="n"/>
      <c r="V23" s="20" t="n"/>
    </row>
    <row r="24" ht="24" customHeight="1" s="220">
      <c r="A24" s="460" t="inlineStr">
        <is>
          <t>Date</t>
        </is>
      </c>
      <c r="B24" s="269" t="inlineStr">
        <is>
          <t>Start Time</t>
        </is>
      </c>
      <c r="C24" s="269" t="inlineStr">
        <is>
          <t>End Time</t>
        </is>
      </c>
      <c r="D24" s="269" t="inlineStr">
        <is>
          <t>Elapsed Time</t>
        </is>
      </c>
      <c r="E24" s="454" t="inlineStr">
        <is>
          <t>Description of Operation</t>
        </is>
      </c>
      <c r="F24" s="506" t="n"/>
      <c r="G24" s="506" t="n"/>
      <c r="H24" s="506" t="n"/>
      <c r="I24" s="525" t="n"/>
    </row>
    <row r="25">
      <c r="A25" s="596" t="n"/>
      <c r="B25" s="597" t="n"/>
      <c r="C25" s="597" t="n"/>
      <c r="D25" s="598">
        <f>IF(B25=0,0,C25-B25)</f>
        <v/>
      </c>
      <c r="E25" s="470" t="n"/>
      <c r="F25" s="582" t="n"/>
      <c r="G25" s="582" t="n"/>
      <c r="H25" s="582" t="n"/>
      <c r="I25" s="583" t="n"/>
    </row>
    <row r="26">
      <c r="A26" s="599" t="n"/>
      <c r="B26" s="600" t="n"/>
      <c r="C26" s="600" t="n"/>
      <c r="D26" s="601">
        <f>IF(B26=0,0,C26-B26)</f>
        <v/>
      </c>
      <c r="E26" s="484" t="n"/>
      <c r="F26" s="536" t="n"/>
      <c r="G26" s="536" t="n"/>
      <c r="H26" s="536" t="n"/>
      <c r="I26" s="586" t="n"/>
    </row>
    <row r="27">
      <c r="A27" s="602" t="n"/>
      <c r="B27" s="600" t="n"/>
      <c r="C27" s="600" t="n"/>
      <c r="D27" s="601">
        <f>IF(B27=0,0,C27-B27)</f>
        <v/>
      </c>
      <c r="E27" s="484" t="n"/>
      <c r="F27" s="536" t="n"/>
      <c r="G27" s="536" t="n"/>
      <c r="H27" s="536" t="n"/>
      <c r="I27" s="586" t="n"/>
    </row>
    <row r="28">
      <c r="A28" s="603" t="n"/>
      <c r="B28" s="600" t="n"/>
      <c r="C28" s="600" t="n"/>
      <c r="D28" s="601">
        <f>IF(B28=0,0,C28-B28)</f>
        <v/>
      </c>
      <c r="E28" s="484" t="n"/>
      <c r="F28" s="536" t="n"/>
      <c r="G28" s="536" t="n"/>
      <c r="H28" s="536" t="n"/>
      <c r="I28" s="586" t="n"/>
    </row>
    <row r="29">
      <c r="A29" s="599" t="n"/>
      <c r="B29" s="600" t="n"/>
      <c r="C29" s="600" t="n"/>
      <c r="D29" s="601">
        <f>IF(B29=0,0,C29-B29)</f>
        <v/>
      </c>
      <c r="E29" s="484" t="n"/>
      <c r="F29" s="536" t="n"/>
      <c r="G29" s="536" t="n"/>
      <c r="H29" s="536" t="n"/>
      <c r="I29" s="586" t="n"/>
    </row>
    <row r="30">
      <c r="A30" s="599" t="n"/>
      <c r="B30" s="600" t="n"/>
      <c r="C30" s="600" t="n"/>
      <c r="D30" s="601">
        <f>IF(B30=0,0,C30-B30)</f>
        <v/>
      </c>
      <c r="E30" s="484" t="n"/>
      <c r="F30" s="536" t="n"/>
      <c r="G30" s="536" t="n"/>
      <c r="H30" s="536" t="n"/>
      <c r="I30" s="586" t="n"/>
    </row>
    <row r="31">
      <c r="A31" s="599" t="n"/>
      <c r="B31" s="600" t="n"/>
      <c r="C31" s="600" t="n"/>
      <c r="D31" s="601">
        <f>IF(B31=0,0,C31-B31)</f>
        <v/>
      </c>
      <c r="E31" s="484" t="n"/>
      <c r="F31" s="536" t="n"/>
      <c r="G31" s="536" t="n"/>
      <c r="H31" s="536" t="n"/>
      <c r="I31" s="586" t="n"/>
    </row>
    <row r="32">
      <c r="A32" s="599" t="n"/>
      <c r="B32" s="600" t="n"/>
      <c r="C32" s="600" t="n"/>
      <c r="D32" s="601">
        <f>IF(B32=0,0,C32-B32)</f>
        <v/>
      </c>
      <c r="E32" s="485" t="n"/>
      <c r="F32" s="536" t="n"/>
      <c r="G32" s="536" t="n"/>
      <c r="H32" s="536" t="n"/>
      <c r="I32" s="536" t="n"/>
    </row>
    <row r="33">
      <c r="A33" s="599" t="n"/>
      <c r="B33" s="600" t="n"/>
      <c r="C33" s="600" t="n"/>
      <c r="D33" s="601">
        <f>IF(B33=0,0,C33-B33)</f>
        <v/>
      </c>
      <c r="E33" s="484" t="n"/>
      <c r="F33" s="536" t="n"/>
      <c r="G33" s="536" t="n"/>
      <c r="H33" s="536" t="n"/>
      <c r="I33" s="586" t="n"/>
    </row>
    <row r="34">
      <c r="A34" s="599" t="n"/>
      <c r="B34" s="600" t="n"/>
      <c r="C34" s="600" t="n"/>
      <c r="D34" s="601">
        <f>IF(B34=0,0,C34-B34)</f>
        <v/>
      </c>
      <c r="E34" s="484" t="n"/>
      <c r="F34" s="536" t="n"/>
      <c r="G34" s="536" t="n"/>
      <c r="H34" s="536" t="n"/>
      <c r="I34" s="586" t="n"/>
    </row>
    <row r="35">
      <c r="A35" s="604" t="n"/>
      <c r="B35" s="605" t="n"/>
      <c r="C35" s="605" t="n"/>
      <c r="D35" s="606">
        <f>IF(B35=0,0,C35-B35)</f>
        <v/>
      </c>
      <c r="E35" s="487" t="n"/>
      <c r="F35" s="607" t="n"/>
      <c r="G35" s="607" t="n"/>
      <c r="H35" s="607" t="n"/>
      <c r="I35" s="608" t="n"/>
    </row>
    <row r="36" ht="14.25" customHeight="1" s="220">
      <c r="A36" s="489" t="inlineStr">
        <is>
          <t>Remarks and Comments</t>
        </is>
      </c>
      <c r="B36" s="526" t="n"/>
      <c r="C36" s="526" t="n"/>
      <c r="D36" s="526" t="n"/>
      <c r="E36" s="526" t="n"/>
      <c r="F36" s="526" t="n"/>
      <c r="G36" s="526" t="n"/>
      <c r="H36" s="526" t="n"/>
      <c r="I36" s="526" t="n"/>
      <c r="J36" s="20" t="n"/>
      <c r="K36" s="20" t="n"/>
      <c r="L36" s="20" t="n"/>
      <c r="M36" s="20" t="n"/>
      <c r="N36" s="20" t="n"/>
      <c r="O36" s="20" t="n"/>
      <c r="P36" s="20" t="n"/>
      <c r="Q36" s="20" t="n"/>
      <c r="R36" s="20" t="n"/>
      <c r="S36" s="20" t="n"/>
      <c r="T36" s="20" t="n"/>
      <c r="U36" s="20" t="n"/>
      <c r="V36" s="20" t="n"/>
    </row>
    <row r="37">
      <c r="A37" s="483" t="n"/>
      <c r="B37" s="607" t="n"/>
      <c r="C37" s="607" t="n"/>
      <c r="D37" s="607" t="n"/>
      <c r="E37" s="607" t="n"/>
      <c r="F37" s="607" t="n"/>
      <c r="G37" s="607" t="n"/>
      <c r="H37" s="607" t="n"/>
      <c r="I37" s="607" t="n"/>
    </row>
  </sheetData>
  <mergeCells count="64">
    <mergeCell ref="A37:I37"/>
    <mergeCell ref="E26:I26"/>
    <mergeCell ref="E27:I27"/>
    <mergeCell ref="E28:I28"/>
    <mergeCell ref="E29:I29"/>
    <mergeCell ref="E30:I30"/>
    <mergeCell ref="E31:I31"/>
    <mergeCell ref="E32:I32"/>
    <mergeCell ref="E33:I33"/>
    <mergeCell ref="E34:I34"/>
    <mergeCell ref="E35:I35"/>
    <mergeCell ref="A36:I36"/>
    <mergeCell ref="B22:C22"/>
    <mergeCell ref="E22:G22"/>
    <mergeCell ref="H22:I22"/>
    <mergeCell ref="A23:I23"/>
    <mergeCell ref="E24:I24"/>
    <mergeCell ref="E18:G18"/>
    <mergeCell ref="H18:I18"/>
    <mergeCell ref="E25:I25"/>
    <mergeCell ref="E19:G19"/>
    <mergeCell ref="H19:I19"/>
    <mergeCell ref="E20:G20"/>
    <mergeCell ref="H20:I20"/>
    <mergeCell ref="E21:G21"/>
    <mergeCell ref="H21:I21"/>
    <mergeCell ref="E15:G15"/>
    <mergeCell ref="H15:I15"/>
    <mergeCell ref="E16:G16"/>
    <mergeCell ref="H16:I16"/>
    <mergeCell ref="E17:G17"/>
    <mergeCell ref="H17:I17"/>
    <mergeCell ref="B12:C12"/>
    <mergeCell ref="E12:F12"/>
    <mergeCell ref="H12:I12"/>
    <mergeCell ref="A13:I13"/>
    <mergeCell ref="B14:C14"/>
    <mergeCell ref="E14:G14"/>
    <mergeCell ref="H14:I14"/>
    <mergeCell ref="B10:C10"/>
    <mergeCell ref="E10:F10"/>
    <mergeCell ref="H10:I10"/>
    <mergeCell ref="B11:C11"/>
    <mergeCell ref="E11:F11"/>
    <mergeCell ref="H11:I11"/>
    <mergeCell ref="B8:C8"/>
    <mergeCell ref="E8:F8"/>
    <mergeCell ref="H8:I8"/>
    <mergeCell ref="B9:C9"/>
    <mergeCell ref="E9:F9"/>
    <mergeCell ref="H9:I9"/>
    <mergeCell ref="B6:C6"/>
    <mergeCell ref="E6:F6"/>
    <mergeCell ref="H6:I6"/>
    <mergeCell ref="B7:C7"/>
    <mergeCell ref="E7:F7"/>
    <mergeCell ref="H7:I7"/>
    <mergeCell ref="A1:I1"/>
    <mergeCell ref="A2:I2"/>
    <mergeCell ref="A3:I3"/>
    <mergeCell ref="A4:I4"/>
    <mergeCell ref="A5:C5"/>
    <mergeCell ref="D5:F5"/>
    <mergeCell ref="G5:I5"/>
  </mergeCells>
  <conditionalFormatting sqref="C25:D35">
    <cfRule type="cellIs" priority="1" operator="lessThan" dxfId="0" stopIfTrue="1">
      <formula>0</formula>
    </cfRule>
  </conditionalFormatting>
  <pageMargins left="0.7" right="0.7" top="0.75" bottom="0.75" header="0.3" footer="0.3"/>
  <legacyDrawing r:id="anysvml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D40"/>
  <sheetViews>
    <sheetView workbookViewId="0">
      <selection activeCell="G11" sqref="G11"/>
    </sheetView>
  </sheetViews>
  <sheetFormatPr baseColWidth="8" defaultRowHeight="12.75"/>
  <cols>
    <col width="43.7109375" customWidth="1" style="220" min="1" max="2"/>
    <col width="20.7109375" customWidth="1" style="220" min="3" max="3"/>
    <col width="9.140625" customWidth="1" style="220" min="4" max="4"/>
  </cols>
  <sheetData>
    <row r="1" ht="23.25" customHeight="1" s="220">
      <c r="A1" s="348" t="inlineStr">
        <is>
          <t>DEVIATION SURVEYS</t>
        </is>
      </c>
    </row>
    <row r="2" ht="14.25" customHeight="1" s="220">
      <c r="A2" s="215" t="n"/>
      <c r="B2" s="6" t="n"/>
      <c r="C2" s="6" t="n"/>
      <c r="D2" s="6" t="n"/>
    </row>
    <row r="3" ht="15" customHeight="1" s="220">
      <c r="A3" s="439" t="inlineStr">
        <is>
          <t>**Please do not add or remove any columns**</t>
        </is>
      </c>
      <c r="C3" s="6" t="n"/>
      <c r="D3" s="6" t="n"/>
    </row>
    <row r="4" ht="14.25" customHeight="1" s="220">
      <c r="A4" s="215" t="n"/>
      <c r="B4" s="6" t="n"/>
      <c r="C4" s="6" t="n"/>
      <c r="D4" s="6" t="n"/>
    </row>
    <row r="5" ht="14.25" customHeight="1" s="220">
      <c r="A5" s="210" t="inlineStr">
        <is>
          <t>Depth</t>
        </is>
      </c>
      <c r="B5" s="211" t="inlineStr">
        <is>
          <t>Inclination</t>
        </is>
      </c>
      <c r="C5" s="211" t="inlineStr">
        <is>
          <t>Azimuth</t>
        </is>
      </c>
      <c r="D5" s="215" t="n"/>
    </row>
    <row r="6" ht="14.25" customHeight="1" s="220">
      <c r="A6" s="212" t="n"/>
      <c r="B6" s="213" t="n"/>
      <c r="C6" s="214" t="n"/>
      <c r="D6" s="215" t="n"/>
    </row>
    <row r="7" ht="14.25" customHeight="1" s="220">
      <c r="A7" s="216" t="n"/>
      <c r="B7" s="75" t="n"/>
      <c r="C7" s="76" t="n"/>
      <c r="D7" s="215" t="n"/>
    </row>
    <row r="8" ht="14.25" customHeight="1" s="220">
      <c r="A8" s="216" t="n"/>
      <c r="B8" s="75" t="n"/>
      <c r="C8" s="76" t="n"/>
      <c r="D8" s="215" t="n"/>
    </row>
    <row r="9" ht="14.25" customHeight="1" s="220">
      <c r="A9" s="216" t="n"/>
      <c r="B9" s="75" t="n"/>
      <c r="C9" s="76" t="n"/>
      <c r="D9" s="215" t="n"/>
    </row>
    <row r="10" ht="14.25" customHeight="1" s="220">
      <c r="A10" s="216" t="n"/>
      <c r="B10" s="75" t="n"/>
      <c r="C10" s="76" t="n"/>
      <c r="D10" s="215" t="n"/>
    </row>
    <row r="11" ht="14.25" customHeight="1" s="220">
      <c r="A11" s="216" t="n"/>
      <c r="B11" s="75" t="n"/>
      <c r="C11" s="76" t="n"/>
      <c r="D11" s="215" t="n"/>
    </row>
    <row r="12" ht="14.25" customHeight="1" s="220">
      <c r="A12" s="216" t="n"/>
      <c r="B12" s="75" t="n"/>
      <c r="C12" s="76" t="n"/>
      <c r="D12" s="215" t="n"/>
    </row>
    <row r="13" ht="14.25" customHeight="1" s="220">
      <c r="A13" s="216" t="n"/>
      <c r="B13" s="217" t="n"/>
      <c r="C13" s="76" t="n"/>
      <c r="D13" s="215" t="n"/>
    </row>
    <row r="14" ht="14.25" customHeight="1" s="220">
      <c r="A14" s="216" t="n"/>
      <c r="B14" s="75" t="n"/>
      <c r="C14" s="76" t="n"/>
      <c r="D14" s="215" t="n"/>
    </row>
    <row r="15" ht="14.25" customHeight="1" s="220">
      <c r="A15" s="216" t="n"/>
      <c r="B15" s="75" t="n"/>
      <c r="C15" s="76" t="n"/>
      <c r="D15" s="215" t="n"/>
    </row>
    <row r="16" ht="14.25" customHeight="1" s="220">
      <c r="A16" s="216" t="n"/>
      <c r="B16" s="75" t="n"/>
      <c r="C16" s="76" t="n"/>
      <c r="D16" s="215" t="n"/>
    </row>
    <row r="17" ht="14.25" customHeight="1" s="220">
      <c r="A17" s="216" t="n"/>
      <c r="B17" s="75" t="n"/>
      <c r="C17" s="76" t="n"/>
      <c r="D17" s="215" t="n"/>
    </row>
    <row r="18" ht="14.25" customHeight="1" s="220">
      <c r="A18" s="216" t="n"/>
      <c r="B18" s="75" t="n"/>
      <c r="C18" s="76" t="n"/>
      <c r="D18" s="215" t="n"/>
    </row>
    <row r="19" ht="14.25" customHeight="1" s="220">
      <c r="A19" s="216" t="n"/>
      <c r="B19" s="75" t="n"/>
      <c r="C19" s="76" t="n"/>
      <c r="D19" s="215" t="n"/>
    </row>
    <row r="20" ht="14.25" customHeight="1" s="220">
      <c r="A20" s="216" t="n"/>
      <c r="B20" s="75" t="n"/>
      <c r="C20" s="76" t="n"/>
      <c r="D20" s="215" t="n"/>
    </row>
    <row r="21" ht="14.25" customHeight="1" s="220">
      <c r="A21" s="216" t="n"/>
      <c r="B21" s="75" t="n"/>
      <c r="C21" s="76" t="n"/>
      <c r="D21" s="215" t="n"/>
    </row>
    <row r="22" ht="14.25" customHeight="1" s="220">
      <c r="A22" s="216" t="n"/>
      <c r="B22" s="75" t="n"/>
      <c r="C22" s="218" t="n"/>
      <c r="D22" s="215" t="n"/>
    </row>
    <row r="23" ht="14.25" customHeight="1" s="220">
      <c r="A23" s="216" t="n"/>
      <c r="B23" s="75" t="n"/>
      <c r="C23" s="76" t="n"/>
      <c r="D23" s="215" t="n"/>
    </row>
    <row r="24" ht="14.25" customHeight="1" s="220">
      <c r="A24" s="219" t="n"/>
      <c r="B24" s="75" t="n"/>
      <c r="C24" s="76" t="n"/>
      <c r="D24" s="215" t="n"/>
    </row>
    <row r="25" ht="14.25" customHeight="1" s="220">
      <c r="A25" s="216" t="n"/>
      <c r="B25" s="75" t="n"/>
      <c r="C25" s="76" t="n"/>
      <c r="D25" s="215" t="n"/>
    </row>
    <row r="26" ht="14.25" customHeight="1" s="220">
      <c r="A26" s="216" t="n"/>
      <c r="B26" s="75" t="n"/>
      <c r="C26" s="76" t="n"/>
      <c r="D26" s="215" t="n"/>
    </row>
    <row r="27" ht="14.25" customHeight="1" s="220">
      <c r="A27" s="216" t="n"/>
      <c r="B27" s="75" t="n"/>
      <c r="C27" s="76" t="n"/>
      <c r="D27" s="215" t="n"/>
    </row>
    <row r="28" ht="14.25" customHeight="1" s="220">
      <c r="A28" s="216" t="n"/>
      <c r="B28" s="217" t="n"/>
      <c r="C28" s="76" t="n"/>
      <c r="D28" s="215" t="n"/>
    </row>
    <row r="29" ht="14.25" customHeight="1" s="220">
      <c r="A29" s="219" t="n"/>
      <c r="B29" s="75" t="n"/>
      <c r="C29" s="76" t="n"/>
      <c r="D29" s="215" t="n"/>
    </row>
    <row r="30" ht="14.25" customHeight="1" s="220">
      <c r="A30" s="216" t="n"/>
      <c r="B30" s="75" t="n"/>
      <c r="C30" s="76" t="n"/>
      <c r="D30" s="215" t="n"/>
    </row>
    <row r="31" ht="14.25" customHeight="1" s="220">
      <c r="A31" s="216" t="n"/>
      <c r="B31" s="75" t="n"/>
      <c r="C31" s="76" t="n"/>
      <c r="D31" s="215" t="n"/>
    </row>
    <row r="32" ht="14.25" customHeight="1" s="220">
      <c r="A32" s="219" t="n"/>
      <c r="B32" s="75" t="n"/>
      <c r="C32" s="76" t="n"/>
      <c r="D32" s="215" t="n"/>
    </row>
    <row r="33" ht="14.25" customHeight="1" s="220">
      <c r="A33" s="216" t="n"/>
      <c r="B33" s="75" t="n"/>
      <c r="C33" s="76" t="n"/>
      <c r="D33" s="215" t="n"/>
    </row>
    <row r="34" ht="14.25" customHeight="1" s="220">
      <c r="A34" s="216" t="n"/>
      <c r="B34" s="75" t="n"/>
      <c r="C34" s="218" t="n"/>
      <c r="D34" s="215" t="n"/>
    </row>
    <row r="35" ht="14.25" customHeight="1" s="220">
      <c r="A35" s="216" t="n"/>
      <c r="B35" s="75" t="n"/>
      <c r="C35" s="76" t="n"/>
      <c r="D35" s="215" t="n"/>
    </row>
    <row r="36" ht="14.25" customHeight="1" s="220">
      <c r="A36" s="216" t="n"/>
      <c r="B36" s="75" t="n"/>
      <c r="C36" s="76" t="n"/>
      <c r="D36" s="215" t="n"/>
    </row>
    <row r="37" ht="14.25" customHeight="1" s="220">
      <c r="A37" s="216" t="n"/>
      <c r="B37" s="75" t="n"/>
      <c r="C37" s="76" t="n"/>
      <c r="D37" s="215" t="n"/>
    </row>
    <row r="38" ht="14.25" customHeight="1" s="220">
      <c r="A38" s="216" t="n"/>
      <c r="B38" s="75" t="n"/>
      <c r="C38" s="218" t="n"/>
      <c r="D38" s="215" t="n"/>
    </row>
    <row r="39" ht="14.25" customHeight="1" s="220">
      <c r="A39" s="219" t="n"/>
      <c r="B39" s="75" t="n"/>
      <c r="C39" s="76" t="n"/>
      <c r="D39" s="215" t="n"/>
    </row>
    <row r="40" ht="14.25" customHeight="1" s="220">
      <c r="A40" s="216" t="n"/>
      <c r="B40" s="75" t="n"/>
      <c r="C40" s="76" t="n"/>
      <c r="D40" s="215" t="n"/>
    </row>
  </sheetData>
  <mergeCells count="2">
    <mergeCell ref="A1:D1"/>
    <mergeCell ref="A3:B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49"/>
  <sheetViews>
    <sheetView workbookViewId="0">
      <selection activeCell="A27" sqref="A27"/>
    </sheetView>
  </sheetViews>
  <sheetFormatPr baseColWidth="8" defaultRowHeight="12.75"/>
  <cols>
    <col width="14.7109375" customWidth="1" style="220" min="1" max="1"/>
    <col width="21" bestFit="1" customWidth="1" style="220" min="2" max="2"/>
    <col width="11.7109375" customWidth="1" style="220" min="3" max="3"/>
    <col width="10.85546875" customWidth="1" style="220" min="4" max="4"/>
    <col width="14.28515625" customWidth="1" style="220" min="5" max="6"/>
    <col width="19.5703125" customWidth="1" style="220" min="7" max="7"/>
    <col width="27.5703125" customWidth="1" style="220" min="8" max="8"/>
  </cols>
  <sheetData>
    <row r="1" ht="23.25" customHeight="1" s="220">
      <c r="A1" s="167" t="inlineStr">
        <is>
          <t>CORE RECOVERY REPORT</t>
        </is>
      </c>
      <c r="B1" s="167" t="n"/>
      <c r="C1" s="167" t="n"/>
      <c r="D1" s="167" t="n"/>
      <c r="E1" s="167" t="n"/>
      <c r="F1" s="167" t="n"/>
      <c r="G1" s="167" t="n"/>
      <c r="H1" s="167" t="n"/>
    </row>
    <row r="2"/>
    <row r="3">
      <c r="A3" s="221" t="n"/>
      <c r="B3" s="221" t="n"/>
      <c r="C3" s="221" t="n"/>
      <c r="D3" s="221" t="n"/>
      <c r="E3" s="221" t="n"/>
      <c r="F3" s="221" t="n"/>
      <c r="G3" s="221" t="n"/>
      <c r="H3" s="221" t="n"/>
    </row>
    <row r="4">
      <c r="A4" s="491" t="inlineStr">
        <is>
          <t>Coring Company:</t>
        </is>
      </c>
      <c r="B4" s="528" t="n"/>
      <c r="C4" s="492" t="n"/>
      <c r="D4" s="507" t="n"/>
      <c r="E4" s="507" t="n"/>
      <c r="F4" s="490" t="inlineStr">
        <is>
          <t>Start Coring Date:</t>
        </is>
      </c>
      <c r="H4" s="222" t="n"/>
    </row>
    <row r="5">
      <c r="A5" s="490" t="inlineStr">
        <is>
          <t>Wireline Company (if applicable):</t>
        </is>
      </c>
      <c r="C5" s="493" t="n"/>
      <c r="D5" s="225" t="n"/>
      <c r="E5" s="225" t="n"/>
      <c r="F5" s="490" t="inlineStr">
        <is>
          <t>Date Shipped:</t>
        </is>
      </c>
      <c r="H5" s="222" t="n"/>
    </row>
    <row r="6">
      <c r="A6" s="490" t="inlineStr">
        <is>
          <t>Geologist(s):</t>
        </is>
      </c>
      <c r="C6" s="493" t="n"/>
      <c r="D6" s="225" t="n"/>
      <c r="E6" s="225" t="n"/>
      <c r="F6" s="223" t="n"/>
      <c r="G6" s="223" t="n"/>
      <c r="H6" s="222" t="n"/>
    </row>
    <row r="7">
      <c r="A7" s="490" t="n"/>
      <c r="C7" s="493" t="n"/>
      <c r="D7" s="225" t="n"/>
      <c r="E7" s="225" t="n"/>
      <c r="H7" s="225" t="n"/>
    </row>
    <row r="8">
      <c r="A8" s="490" t="inlineStr">
        <is>
          <t>Total Cored Interval:</t>
        </is>
      </c>
      <c r="C8" s="493" t="n"/>
      <c r="D8" s="225" t="n"/>
      <c r="E8" s="225" t="n"/>
      <c r="F8" s="490" t="inlineStr">
        <is>
          <t># of Coring Runs:</t>
        </is>
      </c>
      <c r="H8" s="225" t="n"/>
    </row>
    <row r="9">
      <c r="A9" s="490" t="inlineStr">
        <is>
          <t>Target Formation Cored:</t>
        </is>
      </c>
      <c r="C9" s="493" t="n"/>
      <c r="D9" s="225" t="n"/>
      <c r="E9" s="225" t="n"/>
      <c r="F9" s="490" t="inlineStr">
        <is>
          <t>Total Coring Time (hrs):</t>
        </is>
      </c>
      <c r="H9" s="225" t="n"/>
    </row>
    <row r="10">
      <c r="A10" s="490" t="inlineStr">
        <is>
          <t>Target Formation (top):</t>
        </is>
      </c>
      <c r="C10" s="493" t="n"/>
      <c r="D10" s="225" t="n"/>
      <c r="E10" s="225" t="n"/>
      <c r="F10" s="490" t="inlineStr">
        <is>
          <t>Ambient Temperature:</t>
        </is>
      </c>
      <c r="H10" s="225" t="n"/>
    </row>
    <row r="11">
      <c r="A11" s="490" t="inlineStr">
        <is>
          <t>Target Formation (bottom):</t>
        </is>
      </c>
      <c r="C11" s="493" t="n"/>
      <c r="D11" s="225" t="n"/>
      <c r="E11" s="225" t="n"/>
      <c r="F11" s="490" t="inlineStr">
        <is>
          <t>Analytical Lab:</t>
        </is>
      </c>
      <c r="H11" s="225" t="n"/>
    </row>
    <row r="12">
      <c r="A12" s="490" t="n"/>
      <c r="B12" s="490" t="n"/>
      <c r="G12" s="226" t="n"/>
    </row>
    <row r="13" ht="24" customHeight="1" s="220">
      <c r="A13" s="227" t="inlineStr">
        <is>
          <t>CORE No</t>
        </is>
      </c>
      <c r="B13" s="227" t="inlineStr">
        <is>
          <t>TUBE No</t>
        </is>
      </c>
      <c r="C13" s="227" t="inlineStr">
        <is>
          <t>INTERVAL
(m)</t>
        </is>
      </c>
      <c r="D13" s="525" t="n"/>
      <c r="E13" s="227" t="inlineStr">
        <is>
          <t>CUT
(m)</t>
        </is>
      </c>
      <c r="F13" s="227" t="inlineStr">
        <is>
          <t>RECOVERED
(m)</t>
        </is>
      </c>
      <c r="G13" s="227" t="inlineStr">
        <is>
          <t>RECOVERY 
(%)</t>
        </is>
      </c>
      <c r="H13" s="227" t="inlineStr">
        <is>
          <t>COMMENTS</t>
        </is>
      </c>
    </row>
    <row r="14">
      <c r="A14" s="228" t="n"/>
      <c r="B14" s="228" t="n"/>
      <c r="C14" s="450" t="n"/>
      <c r="D14" s="230" t="n"/>
      <c r="E14" s="231">
        <f>D14-C14</f>
        <v/>
      </c>
      <c r="F14" s="228" t="n"/>
      <c r="G14" s="231">
        <f>IF(F14&gt;0,F14/E14,0)</f>
        <v/>
      </c>
      <c r="H14" s="232" t="n"/>
    </row>
    <row r="15">
      <c r="A15" s="228" t="n"/>
      <c r="B15" s="228" t="n"/>
      <c r="C15" s="450" t="n"/>
      <c r="D15" s="230" t="n"/>
      <c r="E15" s="231">
        <f>D15-C15</f>
        <v/>
      </c>
      <c r="F15" s="228" t="n"/>
      <c r="G15" s="231">
        <f>IF(F15&gt;0,F15/E15,0)</f>
        <v/>
      </c>
      <c r="H15" s="232" t="n"/>
    </row>
    <row r="16">
      <c r="A16" s="228" t="n"/>
      <c r="B16" s="228" t="n"/>
      <c r="C16" s="450" t="n"/>
      <c r="D16" s="230" t="n"/>
      <c r="E16" s="231">
        <f>D16-C16</f>
        <v/>
      </c>
      <c r="F16" s="228" t="n"/>
      <c r="G16" s="231">
        <f>IF(F16&gt;0,F16/E16,0)</f>
        <v/>
      </c>
      <c r="H16" s="232" t="n"/>
    </row>
    <row r="17">
      <c r="A17" s="228" t="n"/>
      <c r="B17" s="228" t="n"/>
      <c r="C17" s="450" t="n"/>
      <c r="D17" s="230" t="n"/>
      <c r="E17" s="231">
        <f>D17-C17</f>
        <v/>
      </c>
      <c r="F17" s="228" t="n"/>
      <c r="G17" s="231">
        <f>IF(F17&gt;0,F17/E17,0)</f>
        <v/>
      </c>
      <c r="H17" s="232" t="n"/>
    </row>
    <row r="18">
      <c r="A18" s="228" t="n"/>
      <c r="B18" s="228" t="n"/>
      <c r="C18" s="450" t="n"/>
      <c r="D18" s="230" t="n"/>
      <c r="E18" s="231">
        <f>D18-C18</f>
        <v/>
      </c>
      <c r="F18" s="228" t="n"/>
      <c r="G18" s="231">
        <f>IF(F18&gt;0,F18/E18,0)</f>
        <v/>
      </c>
      <c r="H18" s="232" t="n"/>
    </row>
    <row r="19">
      <c r="A19" s="228" t="n"/>
      <c r="B19" s="228" t="n"/>
      <c r="C19" s="450" t="n"/>
      <c r="D19" s="230" t="n"/>
      <c r="E19" s="231">
        <f>D19-C19</f>
        <v/>
      </c>
      <c r="F19" s="228" t="n"/>
      <c r="G19" s="231">
        <f>IF(F19&gt;0,F19/E19,0)</f>
        <v/>
      </c>
      <c r="H19" s="232" t="n"/>
    </row>
    <row r="20">
      <c r="A20" s="228" t="n"/>
      <c r="B20" s="228" t="n"/>
      <c r="C20" s="450" t="n"/>
      <c r="D20" s="230" t="n"/>
      <c r="E20" s="231">
        <f>D20-C20</f>
        <v/>
      </c>
      <c r="F20" s="228" t="n"/>
      <c r="G20" s="231">
        <f>IF(F20&gt;0,F20/E20,0)</f>
        <v/>
      </c>
      <c r="H20" s="232" t="n"/>
    </row>
    <row r="21">
      <c r="A21" s="228" t="n"/>
      <c r="B21" s="228" t="n"/>
      <c r="C21" s="450" t="n"/>
      <c r="D21" s="230" t="n"/>
      <c r="E21" s="231">
        <f>D21-C21</f>
        <v/>
      </c>
      <c r="F21" s="228" t="n"/>
      <c r="G21" s="231">
        <f>IF(F21&gt;0,F21/E21,0)</f>
        <v/>
      </c>
      <c r="H21" s="232" t="n"/>
    </row>
    <row r="22">
      <c r="A22" s="228" t="n"/>
      <c r="B22" s="228" t="n"/>
      <c r="C22" s="450" t="n"/>
      <c r="D22" s="230" t="n"/>
      <c r="E22" s="231">
        <f>D22-C22</f>
        <v/>
      </c>
      <c r="F22" s="228" t="n"/>
      <c r="G22" s="231">
        <f>IF(F22&gt;0,F22/E22,0)</f>
        <v/>
      </c>
      <c r="H22" s="232" t="n"/>
    </row>
    <row r="23">
      <c r="A23" s="228" t="n"/>
      <c r="B23" s="228" t="n"/>
      <c r="C23" s="450" t="n"/>
      <c r="D23" s="230" t="n"/>
      <c r="E23" s="231">
        <f>D23-C23</f>
        <v/>
      </c>
      <c r="F23" s="228" t="n"/>
      <c r="G23" s="231">
        <f>IF(F23&gt;0,F23/E23,0)</f>
        <v/>
      </c>
      <c r="H23" s="232" t="n"/>
    </row>
    <row r="24">
      <c r="A24" s="228" t="n"/>
      <c r="B24" s="228" t="n"/>
      <c r="C24" s="450" t="n"/>
      <c r="D24" s="230" t="n"/>
      <c r="E24" s="231">
        <f>D24-C24</f>
        <v/>
      </c>
      <c r="F24" s="228" t="n"/>
      <c r="G24" s="231">
        <f>IF(F24&gt;0,F24/E24,0)</f>
        <v/>
      </c>
      <c r="H24" s="232" t="n"/>
    </row>
    <row r="25">
      <c r="A25" s="228" t="n"/>
      <c r="B25" s="228" t="n"/>
      <c r="C25" s="450" t="n"/>
      <c r="D25" s="230" t="n"/>
      <c r="E25" s="231">
        <f>D25-C25</f>
        <v/>
      </c>
      <c r="F25" s="228" t="n"/>
      <c r="G25" s="231">
        <f>IF(F25&gt;0,F25/E25,0)</f>
        <v/>
      </c>
      <c r="H25" s="232" t="n"/>
    </row>
    <row r="26">
      <c r="A26" s="228" t="n"/>
      <c r="B26" s="228" t="n"/>
      <c r="C26" s="450" t="n"/>
      <c r="D26" s="230" t="n"/>
      <c r="E26" s="231">
        <f>D26-C26</f>
        <v/>
      </c>
      <c r="F26" s="228" t="n"/>
      <c r="G26" s="231">
        <f>IF(F26&gt;0,F26/E26,0)</f>
        <v/>
      </c>
      <c r="H26" s="232" t="n"/>
    </row>
    <row r="27">
      <c r="A27" s="228" t="n"/>
      <c r="B27" s="228" t="n"/>
      <c r="C27" s="450" t="n"/>
      <c r="D27" s="230" t="n"/>
      <c r="E27" s="231">
        <f>D27-C27</f>
        <v/>
      </c>
      <c r="F27" s="228" t="n"/>
      <c r="G27" s="231">
        <f>IF(F27&gt;0,F27/E27,0)</f>
        <v/>
      </c>
      <c r="H27" s="232" t="n"/>
    </row>
    <row r="28">
      <c r="A28" s="228" t="n"/>
      <c r="B28" s="228" t="n"/>
      <c r="C28" s="450" t="n"/>
      <c r="D28" s="230" t="n"/>
      <c r="E28" s="231">
        <f>D28-C28</f>
        <v/>
      </c>
      <c r="F28" s="228" t="n"/>
      <c r="G28" s="231">
        <f>IF(F28&gt;0,F28/E28,0)</f>
        <v/>
      </c>
      <c r="H28" s="232" t="n"/>
    </row>
    <row r="29">
      <c r="A29" s="228" t="n"/>
      <c r="B29" s="228" t="n"/>
      <c r="C29" s="450" t="n"/>
      <c r="D29" s="230" t="n"/>
      <c r="E29" s="231">
        <f>D29-C29</f>
        <v/>
      </c>
      <c r="F29" s="228" t="n"/>
      <c r="G29" s="231">
        <f>IF(F29&gt;0,F29/E29,0)</f>
        <v/>
      </c>
      <c r="H29" s="232" t="n"/>
    </row>
    <row r="30">
      <c r="A30" s="228" t="n"/>
      <c r="B30" s="228" t="n"/>
      <c r="C30" s="450" t="n"/>
      <c r="D30" s="230" t="n"/>
      <c r="E30" s="231">
        <f>D30-C30</f>
        <v/>
      </c>
      <c r="F30" s="228" t="n"/>
      <c r="G30" s="231">
        <f>IF(F30&gt;0,F30/E30,0)</f>
        <v/>
      </c>
      <c r="H30" s="232" t="n"/>
    </row>
    <row r="31">
      <c r="A31" s="228" t="n"/>
      <c r="B31" s="228" t="n"/>
      <c r="C31" s="450" t="n"/>
      <c r="D31" s="230" t="n"/>
      <c r="E31" s="231">
        <f>D31-C31</f>
        <v/>
      </c>
      <c r="F31" s="228" t="n"/>
      <c r="G31" s="231">
        <f>IF(F31&gt;0,F31/E31,0)</f>
        <v/>
      </c>
      <c r="H31" s="232" t="n"/>
    </row>
    <row r="32">
      <c r="A32" s="228" t="n"/>
      <c r="B32" s="228" t="n"/>
      <c r="C32" s="450" t="n"/>
      <c r="D32" s="230" t="n"/>
      <c r="E32" s="231">
        <f>D32-C32</f>
        <v/>
      </c>
      <c r="F32" s="228" t="n"/>
      <c r="G32" s="231">
        <f>IF(F32&gt;0,F32/E32,0)</f>
        <v/>
      </c>
      <c r="H32" s="232" t="n"/>
    </row>
    <row r="33">
      <c r="A33" s="228" t="n"/>
      <c r="B33" s="228" t="n"/>
      <c r="C33" s="450" t="n"/>
      <c r="D33" s="230" t="n"/>
      <c r="E33" s="231">
        <f>D33-C33</f>
        <v/>
      </c>
      <c r="F33" s="228" t="n"/>
      <c r="G33" s="231">
        <f>IF(F33&gt;0,F33/E33,0)</f>
        <v/>
      </c>
      <c r="H33" s="232" t="n"/>
    </row>
    <row r="34">
      <c r="A34" s="228" t="n"/>
      <c r="B34" s="228" t="n"/>
      <c r="C34" s="450" t="n"/>
      <c r="D34" s="230" t="n"/>
      <c r="E34" s="231">
        <f>D34-C34</f>
        <v/>
      </c>
      <c r="F34" s="228" t="n"/>
      <c r="G34" s="231">
        <f>IF(F34&gt;0,F34/E34,0)</f>
        <v/>
      </c>
      <c r="H34" s="232" t="n"/>
    </row>
    <row r="35">
      <c r="A35" s="228" t="n"/>
      <c r="B35" s="228" t="n"/>
      <c r="C35" s="450" t="n"/>
      <c r="D35" s="230" t="n"/>
      <c r="E35" s="231">
        <f>D35-C35</f>
        <v/>
      </c>
      <c r="F35" s="228" t="n"/>
      <c r="G35" s="231">
        <f>IF(F35&gt;0,F35/E35,0)</f>
        <v/>
      </c>
      <c r="H35" s="232" t="n"/>
    </row>
    <row r="36">
      <c r="A36" s="228" t="n"/>
      <c r="B36" s="228" t="n"/>
      <c r="C36" s="450" t="n"/>
      <c r="D36" s="230" t="n"/>
      <c r="E36" s="231">
        <f>D36-C36</f>
        <v/>
      </c>
      <c r="F36" s="228" t="n"/>
      <c r="G36" s="231">
        <f>IF(F36&gt;0,F36/E36,0)</f>
        <v/>
      </c>
      <c r="H36" s="232" t="n"/>
    </row>
    <row r="37">
      <c r="A37" s="228" t="n"/>
      <c r="B37" s="228" t="n"/>
      <c r="C37" s="450" t="n"/>
      <c r="D37" s="230" t="n"/>
      <c r="E37" s="231">
        <f>D37-C37</f>
        <v/>
      </c>
      <c r="F37" s="228" t="n"/>
      <c r="G37" s="231">
        <f>IF(F37&gt;0,F37/E37,0)</f>
        <v/>
      </c>
      <c r="H37" s="232" t="n"/>
    </row>
    <row r="38">
      <c r="A38" s="228" t="n"/>
      <c r="B38" s="228" t="n"/>
      <c r="C38" s="450" t="n"/>
      <c r="D38" s="230" t="n"/>
      <c r="E38" s="231">
        <f>D38-C38</f>
        <v/>
      </c>
      <c r="F38" s="228" t="n"/>
      <c r="G38" s="231">
        <f>IF(F38&gt;0,F38/E38,0)</f>
        <v/>
      </c>
      <c r="H38" s="232" t="n"/>
    </row>
    <row r="39">
      <c r="A39" s="228" t="n"/>
      <c r="B39" s="228" t="n"/>
      <c r="C39" s="450" t="n"/>
      <c r="D39" s="230" t="n"/>
      <c r="E39" s="231">
        <f>D39-C39</f>
        <v/>
      </c>
      <c r="F39" s="228" t="n"/>
      <c r="G39" s="231">
        <f>IF(F39&gt;0,F39/E39,0)</f>
        <v/>
      </c>
      <c r="H39" s="232" t="n"/>
    </row>
    <row r="40">
      <c r="A40" s="228" t="n"/>
      <c r="B40" s="228" t="n"/>
      <c r="C40" s="450" t="n"/>
      <c r="D40" s="230" t="n"/>
      <c r="E40" s="231">
        <f>D40-C40</f>
        <v/>
      </c>
      <c r="F40" s="228" t="n"/>
      <c r="G40" s="231">
        <f>IF(F40&gt;0,F40/E40,0)</f>
        <v/>
      </c>
      <c r="H40" s="232" t="n"/>
    </row>
    <row r="41">
      <c r="A41" s="228" t="n"/>
      <c r="B41" s="228" t="n"/>
      <c r="C41" s="450" t="n"/>
      <c r="D41" s="230" t="n"/>
      <c r="E41" s="231">
        <f>D41-C41</f>
        <v/>
      </c>
      <c r="F41" s="228" t="n"/>
      <c r="G41" s="231">
        <f>IF(F41&gt;0,F41/E41,0)</f>
        <v/>
      </c>
      <c r="H41" s="232" t="n"/>
    </row>
    <row r="42">
      <c r="A42" s="228" t="n"/>
      <c r="B42" s="228" t="n"/>
      <c r="C42" s="450" t="n"/>
      <c r="D42" s="230" t="n"/>
      <c r="E42" s="231">
        <f>D42-C42</f>
        <v/>
      </c>
      <c r="F42" s="228" t="n"/>
      <c r="G42" s="231">
        <f>IF(F42&gt;0,F42/E42,0)</f>
        <v/>
      </c>
      <c r="H42" s="232" t="n"/>
    </row>
    <row r="43">
      <c r="A43" s="228" t="n"/>
      <c r="B43" s="228" t="n"/>
      <c r="C43" s="450" t="n"/>
      <c r="D43" s="230" t="n"/>
      <c r="E43" s="231">
        <f>D43-C43</f>
        <v/>
      </c>
      <c r="F43" s="228" t="n"/>
      <c r="G43" s="231">
        <f>IF(F43&gt;0,F43/E43,0)</f>
        <v/>
      </c>
      <c r="H43" s="232" t="n"/>
    </row>
    <row r="44">
      <c r="A44" s="228" t="n"/>
      <c r="B44" s="228" t="n"/>
      <c r="C44" s="450" t="n"/>
      <c r="D44" s="230" t="n"/>
      <c r="E44" s="231">
        <f>D44-C44</f>
        <v/>
      </c>
      <c r="F44" s="228" t="n"/>
      <c r="G44" s="231">
        <f>IF(F44&gt;0,F44/E44,0)</f>
        <v/>
      </c>
      <c r="H44" s="232" t="n"/>
    </row>
    <row r="45">
      <c r="A45" s="227" t="inlineStr">
        <is>
          <t>Total</t>
        </is>
      </c>
      <c r="B45" s="227" t="n"/>
      <c r="C45" s="233" t="n"/>
      <c r="D45" s="234" t="n"/>
      <c r="E45" s="609">
        <f>SUM(E14:E44)</f>
        <v/>
      </c>
      <c r="F45" s="609">
        <f>SUM(F14:F44)</f>
        <v/>
      </c>
      <c r="G45" s="609">
        <f>IF(F45&gt;0,F45/E45,0)</f>
        <v/>
      </c>
      <c r="H45" s="227" t="n"/>
    </row>
    <row r="46">
      <c r="A46" s="610" t="inlineStr">
        <is>
          <t xml:space="preserve">Notes: </t>
        </is>
      </c>
      <c r="B46" s="611" t="n"/>
      <c r="C46" s="611" t="n"/>
      <c r="D46" s="611" t="n"/>
      <c r="E46" s="611" t="n"/>
      <c r="F46" s="611" t="n"/>
      <c r="G46" s="611" t="n"/>
      <c r="H46" s="611" t="n"/>
    </row>
    <row r="47">
      <c r="A47" s="225" t="n"/>
      <c r="B47" s="225" t="n"/>
      <c r="C47" s="225" t="n"/>
      <c r="D47" s="225" t="n"/>
      <c r="E47" s="225" t="n"/>
      <c r="F47" s="225" t="n"/>
      <c r="G47" s="225" t="n"/>
      <c r="H47" s="225" t="n"/>
    </row>
    <row r="48">
      <c r="A48" s="225" t="n"/>
      <c r="B48" s="225" t="n"/>
      <c r="C48" s="225" t="n"/>
      <c r="D48" s="225" t="n"/>
      <c r="E48" s="225" t="n"/>
      <c r="F48" s="225" t="n"/>
      <c r="G48" s="225" t="n"/>
      <c r="H48" s="225" t="n"/>
    </row>
    <row r="49" ht="13.5" customHeight="1" s="220" thickBot="1">
      <c r="A49" s="612" t="n"/>
      <c r="B49" s="612" t="n"/>
      <c r="C49" s="612" t="n"/>
      <c r="D49" s="612" t="n"/>
      <c r="E49" s="612" t="n"/>
      <c r="F49" s="612" t="n"/>
      <c r="G49" s="612" t="n"/>
      <c r="H49" s="612" t="n"/>
    </row>
    <row r="50" ht="13.5" customHeight="1" s="220" thickTop="1"/>
  </sheetData>
  <mergeCells count="23">
    <mergeCell ref="A11:B11"/>
    <mergeCell ref="C11:E11"/>
    <mergeCell ref="F11:G11"/>
    <mergeCell ref="C13:D13"/>
    <mergeCell ref="A46:H49"/>
    <mergeCell ref="A9:B9"/>
    <mergeCell ref="C9:E9"/>
    <mergeCell ref="F9:G9"/>
    <mergeCell ref="A10:B10"/>
    <mergeCell ref="C10:E10"/>
    <mergeCell ref="F10:G10"/>
    <mergeCell ref="F8:G8"/>
    <mergeCell ref="A4:B4"/>
    <mergeCell ref="C4:E4"/>
    <mergeCell ref="F4:G4"/>
    <mergeCell ref="A5:B5"/>
    <mergeCell ref="C5:E5"/>
    <mergeCell ref="F5:G5"/>
    <mergeCell ref="A6:B6"/>
    <mergeCell ref="C6:E6"/>
    <mergeCell ref="C7:E7"/>
    <mergeCell ref="A8:B8"/>
    <mergeCell ref="C8:E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Sheet5">
    <outlinePr summaryBelow="1" summaryRight="1"/>
    <pageSetUpPr/>
  </sheetPr>
  <dimension ref="A1:F73"/>
  <sheetViews>
    <sheetView workbookViewId="0">
      <selection activeCell="H23" sqref="H23"/>
    </sheetView>
  </sheetViews>
  <sheetFormatPr baseColWidth="8" defaultRowHeight="12.75"/>
  <cols>
    <col width="9.7109375" customWidth="1" style="220" min="1" max="3"/>
    <col width="42.7109375" customWidth="1" style="220" min="4" max="5"/>
    <col width="44.7109375" customWidth="1" style="220" min="6" max="6"/>
  </cols>
  <sheetData>
    <row r="1" ht="23.25" customHeight="1" s="220">
      <c r="A1" s="348" t="inlineStr">
        <is>
          <t>CORE DESCRIPTION REPORT</t>
        </is>
      </c>
      <c r="B1" s="236" t="n"/>
      <c r="C1" s="236" t="n"/>
      <c r="D1" s="236" t="n"/>
      <c r="E1" s="167" t="n"/>
      <c r="F1" s="167" t="n"/>
    </row>
    <row r="2" ht="23.25" customHeight="1" s="220">
      <c r="A2" s="237" t="n"/>
      <c r="B2" s="237" t="n"/>
      <c r="C2" s="237" t="n"/>
      <c r="D2" s="237" t="n"/>
      <c r="E2" s="238" t="n"/>
      <c r="F2" s="238" t="n"/>
    </row>
    <row r="3">
      <c r="A3" s="239" t="inlineStr">
        <is>
          <t>CORE No</t>
        </is>
      </c>
      <c r="B3" s="613" t="inlineStr">
        <is>
          <t>DEPTH INTERVAL</t>
        </is>
      </c>
      <c r="C3" s="614" t="n"/>
      <c r="D3" s="454" t="inlineStr">
        <is>
          <t>DESCRIPTION</t>
        </is>
      </c>
      <c r="E3" s="525" t="n"/>
      <c r="F3" s="239" t="inlineStr">
        <is>
          <t>COMMENTS</t>
        </is>
      </c>
    </row>
    <row r="4">
      <c r="A4" s="228" t="n"/>
      <c r="B4" s="615" t="n"/>
      <c r="C4" s="616" t="n"/>
      <c r="D4" s="617" t="n"/>
      <c r="E4" s="618" t="n"/>
      <c r="F4" s="232" t="n"/>
    </row>
    <row r="5">
      <c r="A5" s="228" t="n"/>
      <c r="B5" s="617" t="n"/>
      <c r="C5" s="618" t="n"/>
      <c r="D5" s="617" t="n"/>
      <c r="E5" s="618" t="n"/>
      <c r="F5" s="232" t="n"/>
    </row>
    <row r="6">
      <c r="A6" s="228" t="n"/>
      <c r="B6" s="617" t="n"/>
      <c r="C6" s="618" t="n"/>
      <c r="D6" s="617" t="n"/>
      <c r="E6" s="618" t="n"/>
      <c r="F6" s="232" t="n"/>
    </row>
    <row r="7">
      <c r="A7" s="228" t="n"/>
      <c r="B7" s="617" t="n"/>
      <c r="C7" s="618" t="n"/>
      <c r="D7" s="617" t="n"/>
      <c r="E7" s="618" t="n"/>
      <c r="F7" s="232" t="n"/>
    </row>
    <row r="8">
      <c r="A8" s="228" t="n"/>
      <c r="B8" s="617" t="n"/>
      <c r="C8" s="618" t="n"/>
      <c r="D8" s="617" t="n"/>
      <c r="E8" s="618" t="n"/>
      <c r="F8" s="232" t="n"/>
    </row>
    <row r="9">
      <c r="A9" s="228" t="n"/>
      <c r="B9" s="617" t="n"/>
      <c r="C9" s="618" t="n"/>
      <c r="D9" s="617" t="n"/>
      <c r="E9" s="618" t="n"/>
      <c r="F9" s="232" t="n"/>
    </row>
    <row r="10">
      <c r="A10" s="228" t="n"/>
      <c r="B10" s="617" t="n"/>
      <c r="C10" s="618" t="n"/>
      <c r="D10" s="617" t="n"/>
      <c r="E10" s="618" t="n"/>
      <c r="F10" s="232" t="n"/>
    </row>
    <row r="11">
      <c r="A11" s="228" t="n"/>
      <c r="B11" s="617" t="n"/>
      <c r="C11" s="618" t="n"/>
      <c r="D11" s="617" t="n"/>
      <c r="E11" s="618" t="n"/>
      <c r="F11" s="232" t="n"/>
    </row>
    <row r="12">
      <c r="A12" s="228" t="n"/>
      <c r="B12" s="617" t="n"/>
      <c r="C12" s="618" t="n"/>
      <c r="D12" s="617" t="n"/>
      <c r="E12" s="618" t="n"/>
      <c r="F12" s="232" t="n"/>
    </row>
    <row r="13">
      <c r="A13" s="228" t="n"/>
      <c r="B13" s="617" t="n"/>
      <c r="C13" s="618" t="n"/>
      <c r="D13" s="617" t="n"/>
      <c r="E13" s="618" t="n"/>
      <c r="F13" s="232" t="n"/>
    </row>
    <row r="14">
      <c r="A14" s="228" t="n"/>
      <c r="B14" s="617" t="n"/>
      <c r="C14" s="618" t="n"/>
      <c r="D14" s="617" t="n"/>
      <c r="E14" s="618" t="n"/>
      <c r="F14" s="232" t="n"/>
    </row>
    <row r="15">
      <c r="A15" s="228" t="n"/>
      <c r="B15" s="617" t="n"/>
      <c r="C15" s="618" t="n"/>
      <c r="D15" s="617" t="n"/>
      <c r="E15" s="618" t="n"/>
      <c r="F15" s="232" t="n"/>
    </row>
    <row r="16">
      <c r="A16" s="228" t="n"/>
      <c r="B16" s="617" t="n"/>
      <c r="C16" s="618" t="n"/>
      <c r="D16" s="617" t="n"/>
      <c r="E16" s="618" t="n"/>
      <c r="F16" s="232" t="n"/>
    </row>
    <row r="17">
      <c r="A17" s="228" t="n"/>
      <c r="B17" s="617" t="n"/>
      <c r="C17" s="618" t="n"/>
      <c r="D17" s="617" t="n"/>
      <c r="E17" s="618" t="n"/>
      <c r="F17" s="232" t="n"/>
    </row>
    <row r="18">
      <c r="A18" s="228" t="n"/>
      <c r="B18" s="617" t="n"/>
      <c r="C18" s="618" t="n"/>
      <c r="D18" s="617" t="n"/>
      <c r="E18" s="618" t="n"/>
      <c r="F18" s="232" t="n"/>
    </row>
    <row r="19">
      <c r="A19" s="228" t="n"/>
      <c r="B19" s="617" t="n"/>
      <c r="C19" s="618" t="n"/>
      <c r="D19" s="617" t="n"/>
      <c r="E19" s="618" t="n"/>
      <c r="F19" s="232" t="n"/>
    </row>
    <row r="20">
      <c r="A20" s="228" t="n"/>
      <c r="B20" s="617" t="n"/>
      <c r="C20" s="618" t="n"/>
      <c r="D20" s="617" t="n"/>
      <c r="E20" s="618" t="n"/>
      <c r="F20" s="232" t="n"/>
    </row>
    <row r="21">
      <c r="A21" s="228" t="n"/>
      <c r="B21" s="617" t="n"/>
      <c r="C21" s="618" t="n"/>
      <c r="D21" s="617" t="n"/>
      <c r="E21" s="618" t="n"/>
      <c r="F21" s="232" t="n"/>
    </row>
    <row r="22">
      <c r="A22" s="228" t="n"/>
      <c r="B22" s="617" t="n"/>
      <c r="C22" s="618" t="n"/>
      <c r="D22" s="617" t="n"/>
      <c r="E22" s="618" t="n"/>
      <c r="F22" s="232" t="n"/>
    </row>
    <row r="23">
      <c r="A23" s="228" t="n"/>
      <c r="B23" s="617" t="n"/>
      <c r="C23" s="618" t="n"/>
      <c r="D23" s="617" t="n"/>
      <c r="E23" s="618" t="n"/>
      <c r="F23" s="232" t="n"/>
    </row>
    <row r="24">
      <c r="A24" s="228" t="n"/>
      <c r="B24" s="617" t="n"/>
      <c r="C24" s="618" t="n"/>
      <c r="D24" s="617" t="n"/>
      <c r="E24" s="618" t="n"/>
      <c r="F24" s="232" t="n"/>
    </row>
    <row r="25">
      <c r="A25" s="228" t="n"/>
      <c r="B25" s="617" t="n"/>
      <c r="C25" s="618" t="n"/>
      <c r="D25" s="617" t="n"/>
      <c r="E25" s="618" t="n"/>
      <c r="F25" s="232" t="n"/>
    </row>
    <row r="26">
      <c r="A26" s="228" t="n"/>
      <c r="B26" s="617" t="n"/>
      <c r="C26" s="618" t="n"/>
      <c r="D26" s="617" t="n"/>
      <c r="E26" s="618" t="n"/>
      <c r="F26" s="232" t="n"/>
    </row>
    <row r="27">
      <c r="A27" s="228" t="n"/>
      <c r="B27" s="617" t="n"/>
      <c r="C27" s="618" t="n"/>
      <c r="D27" s="617" t="n"/>
      <c r="E27" s="618" t="n"/>
      <c r="F27" s="232" t="n"/>
    </row>
    <row r="28">
      <c r="A28" s="228" t="n"/>
      <c r="B28" s="617" t="n"/>
      <c r="C28" s="618" t="n"/>
      <c r="D28" s="617" t="n"/>
      <c r="E28" s="618" t="n"/>
      <c r="F28" s="232" t="n"/>
    </row>
    <row r="29">
      <c r="A29" s="228" t="n"/>
      <c r="B29" s="617" t="n"/>
      <c r="C29" s="618" t="n"/>
      <c r="D29" s="617" t="n"/>
      <c r="E29" s="618" t="n"/>
      <c r="F29" s="232" t="n"/>
    </row>
    <row r="30">
      <c r="A30" s="228" t="n"/>
      <c r="B30" s="617" t="n"/>
      <c r="C30" s="618" t="n"/>
      <c r="D30" s="617" t="n"/>
      <c r="E30" s="618" t="n"/>
      <c r="F30" s="232" t="n"/>
    </row>
    <row r="31">
      <c r="A31" s="228" t="n"/>
      <c r="B31" s="617" t="n"/>
      <c r="C31" s="618" t="n"/>
      <c r="D31" s="617" t="n"/>
      <c r="E31" s="618" t="n"/>
      <c r="F31" s="232" t="n"/>
    </row>
    <row r="32">
      <c r="A32" s="228" t="n"/>
      <c r="B32" s="617" t="n"/>
      <c r="C32" s="618" t="n"/>
      <c r="D32" s="617" t="n"/>
      <c r="E32" s="618" t="n"/>
      <c r="F32" s="232" t="n"/>
    </row>
    <row r="33">
      <c r="A33" s="228" t="n"/>
      <c r="B33" s="617" t="n"/>
      <c r="C33" s="618" t="n"/>
      <c r="D33" s="617" t="n"/>
      <c r="E33" s="618" t="n"/>
      <c r="F33" s="232" t="n"/>
    </row>
    <row r="34">
      <c r="A34" s="228" t="n"/>
      <c r="B34" s="617" t="n"/>
      <c r="C34" s="618" t="n"/>
      <c r="D34" s="617" t="n"/>
      <c r="E34" s="618" t="n"/>
      <c r="F34" s="232" t="n"/>
    </row>
    <row r="35">
      <c r="A35" s="228" t="n"/>
      <c r="B35" s="617" t="n"/>
      <c r="C35" s="618" t="n"/>
      <c r="D35" s="617" t="n"/>
      <c r="E35" s="618" t="n"/>
      <c r="F35" s="232" t="n"/>
    </row>
    <row r="36">
      <c r="A36" s="228" t="n"/>
      <c r="B36" s="617" t="n"/>
      <c r="C36" s="618" t="n"/>
      <c r="D36" s="617" t="n"/>
      <c r="E36" s="618" t="n"/>
      <c r="F36" s="232" t="n"/>
    </row>
    <row r="37">
      <c r="A37" s="228" t="n"/>
      <c r="B37" s="617" t="n"/>
      <c r="C37" s="618" t="n"/>
      <c r="D37" s="617" t="n"/>
      <c r="E37" s="618" t="n"/>
      <c r="F37" s="232" t="n"/>
    </row>
    <row r="38">
      <c r="A38" s="228" t="n"/>
      <c r="B38" s="617" t="n"/>
      <c r="C38" s="618" t="n"/>
      <c r="D38" s="617" t="n"/>
      <c r="E38" s="618" t="n"/>
      <c r="F38" s="232" t="n"/>
    </row>
    <row r="39">
      <c r="A39" s="228" t="n"/>
      <c r="B39" s="617" t="n"/>
      <c r="C39" s="618" t="n"/>
      <c r="D39" s="617" t="n"/>
      <c r="E39" s="618" t="n"/>
      <c r="F39" s="232" t="n"/>
    </row>
    <row r="40">
      <c r="A40" s="228" t="n"/>
      <c r="B40" s="617" t="n"/>
      <c r="C40" s="618" t="n"/>
      <c r="D40" s="617" t="n"/>
      <c r="E40" s="618" t="n"/>
      <c r="F40" s="232" t="n"/>
    </row>
    <row r="41">
      <c r="A41" s="228" t="n"/>
      <c r="B41" s="617" t="n"/>
      <c r="C41" s="618" t="n"/>
      <c r="D41" s="617" t="n"/>
      <c r="E41" s="618" t="n"/>
      <c r="F41" s="232" t="n"/>
    </row>
    <row r="42">
      <c r="A42" s="228" t="n"/>
      <c r="B42" s="617" t="n"/>
      <c r="C42" s="618" t="n"/>
      <c r="D42" s="617" t="n"/>
      <c r="E42" s="618" t="n"/>
      <c r="F42" s="232" t="n"/>
    </row>
    <row r="43">
      <c r="A43" s="228" t="n"/>
      <c r="B43" s="617" t="n"/>
      <c r="C43" s="618" t="n"/>
      <c r="D43" s="617" t="n"/>
      <c r="E43" s="618" t="n"/>
      <c r="F43" s="232" t="n"/>
    </row>
    <row r="44">
      <c r="A44" s="228" t="n"/>
      <c r="B44" s="617" t="n"/>
      <c r="C44" s="618" t="n"/>
      <c r="D44" s="617" t="n"/>
      <c r="E44" s="618" t="n"/>
      <c r="F44" s="232" t="n"/>
    </row>
    <row r="45">
      <c r="A45" s="228" t="n"/>
      <c r="B45" s="617" t="n"/>
      <c r="C45" s="618" t="n"/>
      <c r="D45" s="617" t="n"/>
      <c r="E45" s="618" t="n"/>
      <c r="F45" s="232" t="n"/>
    </row>
    <row r="46">
      <c r="A46" s="228" t="n"/>
      <c r="B46" s="617" t="n"/>
      <c r="C46" s="618" t="n"/>
      <c r="D46" s="617" t="n"/>
      <c r="E46" s="618" t="n"/>
      <c r="F46" s="232" t="n"/>
    </row>
    <row r="47">
      <c r="A47" s="228" t="n"/>
      <c r="B47" s="617" t="n"/>
      <c r="C47" s="618" t="n"/>
      <c r="D47" s="617" t="n"/>
      <c r="E47" s="618" t="n"/>
      <c r="F47" s="232" t="n"/>
    </row>
    <row r="48">
      <c r="A48" s="228" t="n"/>
      <c r="B48" s="617" t="n"/>
      <c r="C48" s="618" t="n"/>
      <c r="D48" s="617" t="n"/>
      <c r="E48" s="618" t="n"/>
      <c r="F48" s="232" t="n"/>
    </row>
    <row r="49">
      <c r="A49" s="228" t="n"/>
      <c r="B49" s="617" t="n"/>
      <c r="C49" s="618" t="n"/>
      <c r="D49" s="617" t="n"/>
      <c r="E49" s="618" t="n"/>
      <c r="F49" s="232" t="n"/>
    </row>
    <row r="50">
      <c r="A50" s="228" t="n"/>
      <c r="B50" s="617" t="n"/>
      <c r="C50" s="618" t="n"/>
      <c r="D50" s="617" t="n"/>
      <c r="E50" s="618" t="n"/>
      <c r="F50" s="232" t="n"/>
    </row>
    <row r="51">
      <c r="A51" s="228" t="n"/>
      <c r="B51" s="617" t="n"/>
      <c r="C51" s="618" t="n"/>
      <c r="D51" s="617" t="n"/>
      <c r="E51" s="618" t="n"/>
      <c r="F51" s="232" t="n"/>
    </row>
    <row r="52">
      <c r="A52" s="228" t="n"/>
      <c r="B52" s="617" t="n"/>
      <c r="C52" s="618" t="n"/>
      <c r="D52" s="617" t="n"/>
      <c r="E52" s="618" t="n"/>
      <c r="F52" s="232" t="n"/>
    </row>
    <row r="53">
      <c r="A53" s="228" t="n"/>
      <c r="B53" s="617" t="n"/>
      <c r="C53" s="618" t="n"/>
      <c r="D53" s="617" t="n"/>
      <c r="E53" s="618" t="n"/>
      <c r="F53" s="232" t="n"/>
    </row>
    <row r="54">
      <c r="A54" s="228" t="n"/>
      <c r="B54" s="617" t="n"/>
      <c r="C54" s="618" t="n"/>
      <c r="D54" s="617" t="n"/>
      <c r="E54" s="618" t="n"/>
      <c r="F54" s="232" t="n"/>
    </row>
    <row r="55">
      <c r="A55" s="228" t="n"/>
      <c r="B55" s="617" t="n"/>
      <c r="C55" s="618" t="n"/>
      <c r="D55" s="617" t="n"/>
      <c r="E55" s="618" t="n"/>
      <c r="F55" s="232" t="n"/>
    </row>
    <row r="56">
      <c r="A56" s="228" t="n"/>
      <c r="B56" s="617" t="n"/>
      <c r="C56" s="618" t="n"/>
      <c r="D56" s="617" t="n"/>
      <c r="E56" s="618" t="n"/>
      <c r="F56" s="232" t="n"/>
    </row>
    <row r="57">
      <c r="A57" s="228" t="n"/>
      <c r="B57" s="617" t="n"/>
      <c r="C57" s="618" t="n"/>
      <c r="D57" s="617" t="n"/>
      <c r="E57" s="618" t="n"/>
      <c r="F57" s="232" t="n"/>
    </row>
    <row r="58">
      <c r="A58" s="228" t="n"/>
      <c r="B58" s="617" t="n"/>
      <c r="C58" s="618" t="n"/>
      <c r="D58" s="617" t="n"/>
      <c r="E58" s="618" t="n"/>
      <c r="F58" s="232" t="n"/>
    </row>
    <row r="59">
      <c r="A59" s="228" t="n"/>
      <c r="B59" s="617" t="n"/>
      <c r="C59" s="618" t="n"/>
      <c r="D59" s="617" t="n"/>
      <c r="E59" s="618" t="n"/>
      <c r="F59" s="232" t="n"/>
    </row>
    <row r="60">
      <c r="A60" s="228" t="n"/>
      <c r="B60" s="617" t="n"/>
      <c r="C60" s="618" t="n"/>
      <c r="D60" s="617" t="n"/>
      <c r="E60" s="618" t="n"/>
      <c r="F60" s="232" t="n"/>
    </row>
    <row r="61">
      <c r="A61" s="228" t="n"/>
      <c r="B61" s="617" t="n"/>
      <c r="C61" s="618" t="n"/>
      <c r="D61" s="617" t="n"/>
      <c r="E61" s="618" t="n"/>
      <c r="F61" s="232" t="n"/>
    </row>
    <row r="62">
      <c r="A62" s="228" t="n"/>
      <c r="B62" s="617" t="n"/>
      <c r="C62" s="618" t="n"/>
      <c r="D62" s="617" t="n"/>
      <c r="E62" s="618" t="n"/>
      <c r="F62" s="232" t="n"/>
    </row>
    <row r="63">
      <c r="A63" s="228" t="n"/>
      <c r="B63" s="617" t="n"/>
      <c r="C63" s="618" t="n"/>
      <c r="D63" s="617" t="n"/>
      <c r="E63" s="618" t="n"/>
      <c r="F63" s="232" t="n"/>
    </row>
    <row r="64">
      <c r="A64" s="228" t="n"/>
      <c r="B64" s="617" t="n"/>
      <c r="C64" s="618" t="n"/>
      <c r="D64" s="617" t="n"/>
      <c r="E64" s="618" t="n"/>
      <c r="F64" s="232" t="n"/>
    </row>
    <row r="65">
      <c r="A65" s="228" t="n"/>
      <c r="B65" s="617" t="n"/>
      <c r="C65" s="618" t="n"/>
      <c r="D65" s="617" t="n"/>
      <c r="E65" s="618" t="n"/>
      <c r="F65" s="232" t="n"/>
    </row>
    <row r="66">
      <c r="A66" s="228" t="n"/>
      <c r="B66" s="617" t="n"/>
      <c r="C66" s="618" t="n"/>
      <c r="D66" s="617" t="n"/>
      <c r="E66" s="618" t="n"/>
      <c r="F66" s="232" t="n"/>
    </row>
    <row r="67">
      <c r="A67" s="228" t="n"/>
      <c r="B67" s="617" t="n"/>
      <c r="C67" s="618" t="n"/>
      <c r="D67" s="617" t="n"/>
      <c r="E67" s="618" t="n"/>
      <c r="F67" s="232" t="n"/>
    </row>
    <row r="68">
      <c r="A68" s="228" t="n"/>
      <c r="B68" s="617" t="n"/>
      <c r="C68" s="618" t="n"/>
      <c r="D68" s="617" t="n"/>
      <c r="E68" s="618" t="n"/>
      <c r="F68" s="232" t="n"/>
    </row>
    <row r="69">
      <c r="A69" s="228" t="n"/>
      <c r="B69" s="617" t="n"/>
      <c r="C69" s="618" t="n"/>
      <c r="D69" s="617" t="n"/>
      <c r="E69" s="618" t="n"/>
      <c r="F69" s="232" t="n"/>
    </row>
    <row r="70">
      <c r="A70" s="228" t="n"/>
      <c r="B70" s="617" t="n"/>
      <c r="C70" s="618" t="n"/>
      <c r="D70" s="617" t="n"/>
      <c r="E70" s="618" t="n"/>
      <c r="F70" s="232" t="n"/>
    </row>
    <row r="71">
      <c r="A71" s="228" t="n"/>
      <c r="B71" s="617" t="n"/>
      <c r="C71" s="618" t="n"/>
      <c r="D71" s="617" t="n"/>
      <c r="E71" s="618" t="n"/>
      <c r="F71" s="232" t="n"/>
    </row>
    <row r="72">
      <c r="A72" s="228" t="n"/>
      <c r="B72" s="617" t="n"/>
      <c r="C72" s="618" t="n"/>
      <c r="D72" s="617" t="n"/>
      <c r="E72" s="618" t="n"/>
      <c r="F72" s="232" t="n"/>
    </row>
    <row r="73">
      <c r="A73" s="228" t="n"/>
      <c r="B73" s="617" t="n"/>
      <c r="C73" s="618" t="n"/>
      <c r="D73" s="617" t="n"/>
      <c r="E73" s="618" t="n"/>
      <c r="F73" s="232" t="n"/>
    </row>
  </sheetData>
  <mergeCells count="142">
    <mergeCell ref="B72:C72"/>
    <mergeCell ref="D72:E72"/>
    <mergeCell ref="B73:C73"/>
    <mergeCell ref="D73:E73"/>
    <mergeCell ref="B69:C69"/>
    <mergeCell ref="D69:E69"/>
    <mergeCell ref="B70:C70"/>
    <mergeCell ref="D70:E70"/>
    <mergeCell ref="B71:C71"/>
    <mergeCell ref="D71:E71"/>
    <mergeCell ref="B66:C66"/>
    <mergeCell ref="D66:E66"/>
    <mergeCell ref="B67:C67"/>
    <mergeCell ref="D67:E67"/>
    <mergeCell ref="B68:C68"/>
    <mergeCell ref="D68:E68"/>
    <mergeCell ref="B63:C63"/>
    <mergeCell ref="D63:E63"/>
    <mergeCell ref="B64:C64"/>
    <mergeCell ref="D64:E64"/>
    <mergeCell ref="B65:C65"/>
    <mergeCell ref="D65:E65"/>
    <mergeCell ref="B60:C60"/>
    <mergeCell ref="D60:E60"/>
    <mergeCell ref="B61:C61"/>
    <mergeCell ref="D61:E61"/>
    <mergeCell ref="B62:C62"/>
    <mergeCell ref="D62:E62"/>
    <mergeCell ref="B57:C57"/>
    <mergeCell ref="D57:E57"/>
    <mergeCell ref="B58:C58"/>
    <mergeCell ref="D58:E58"/>
    <mergeCell ref="B59:C59"/>
    <mergeCell ref="D59:E59"/>
    <mergeCell ref="B54:C54"/>
    <mergeCell ref="D54:E54"/>
    <mergeCell ref="B55:C55"/>
    <mergeCell ref="D55:E55"/>
    <mergeCell ref="B56:C56"/>
    <mergeCell ref="D56:E56"/>
    <mergeCell ref="B51:C51"/>
    <mergeCell ref="D51:E51"/>
    <mergeCell ref="B52:C52"/>
    <mergeCell ref="D52:E52"/>
    <mergeCell ref="B53:C53"/>
    <mergeCell ref="D53:E53"/>
    <mergeCell ref="B48:C48"/>
    <mergeCell ref="D48:E48"/>
    <mergeCell ref="B49:C49"/>
    <mergeCell ref="D49:E49"/>
    <mergeCell ref="B50:C50"/>
    <mergeCell ref="D50:E50"/>
    <mergeCell ref="B45:C45"/>
    <mergeCell ref="D45:E45"/>
    <mergeCell ref="B46:C46"/>
    <mergeCell ref="D46:E46"/>
    <mergeCell ref="B47:C47"/>
    <mergeCell ref="D47:E47"/>
    <mergeCell ref="B42:C42"/>
    <mergeCell ref="D42:E42"/>
    <mergeCell ref="B43:C43"/>
    <mergeCell ref="D43:E43"/>
    <mergeCell ref="B44:C44"/>
    <mergeCell ref="D44:E44"/>
    <mergeCell ref="B39:C39"/>
    <mergeCell ref="D39:E39"/>
    <mergeCell ref="B40:C40"/>
    <mergeCell ref="D40:E40"/>
    <mergeCell ref="B41:C41"/>
    <mergeCell ref="D41:E41"/>
    <mergeCell ref="B36:C36"/>
    <mergeCell ref="D36:E36"/>
    <mergeCell ref="B37:C37"/>
    <mergeCell ref="D37:E37"/>
    <mergeCell ref="B38:C38"/>
    <mergeCell ref="D38:E38"/>
    <mergeCell ref="B33:C33"/>
    <mergeCell ref="D33:E33"/>
    <mergeCell ref="B34:C34"/>
    <mergeCell ref="D34:E34"/>
    <mergeCell ref="B35:C35"/>
    <mergeCell ref="D35:E35"/>
    <mergeCell ref="B30:C30"/>
    <mergeCell ref="D30:E30"/>
    <mergeCell ref="B31:C31"/>
    <mergeCell ref="D31:E31"/>
    <mergeCell ref="B32:C32"/>
    <mergeCell ref="D32:E32"/>
    <mergeCell ref="B27:C27"/>
    <mergeCell ref="D27:E27"/>
    <mergeCell ref="B28:C28"/>
    <mergeCell ref="D28:E28"/>
    <mergeCell ref="B29:C29"/>
    <mergeCell ref="D29:E29"/>
    <mergeCell ref="B24:C24"/>
    <mergeCell ref="D24:E24"/>
    <mergeCell ref="B25:C25"/>
    <mergeCell ref="D25:E25"/>
    <mergeCell ref="B26:C26"/>
    <mergeCell ref="D26:E26"/>
    <mergeCell ref="B21:C21"/>
    <mergeCell ref="D21:E21"/>
    <mergeCell ref="B22:C22"/>
    <mergeCell ref="D22:E22"/>
    <mergeCell ref="B23:C23"/>
    <mergeCell ref="D23:E23"/>
    <mergeCell ref="B18:C18"/>
    <mergeCell ref="D18:E18"/>
    <mergeCell ref="B19:C19"/>
    <mergeCell ref="D19:E19"/>
    <mergeCell ref="B20:C20"/>
    <mergeCell ref="D20:E20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B9:C9"/>
    <mergeCell ref="D9:E9"/>
    <mergeCell ref="B10:C10"/>
    <mergeCell ref="D10:E10"/>
    <mergeCell ref="B11:C11"/>
    <mergeCell ref="D11:E11"/>
    <mergeCell ref="B6:C6"/>
    <mergeCell ref="D6:E6"/>
    <mergeCell ref="B7:C7"/>
    <mergeCell ref="D7:E7"/>
    <mergeCell ref="B8:C8"/>
    <mergeCell ref="D8:E8"/>
    <mergeCell ref="B3:C3"/>
    <mergeCell ref="D3:E3"/>
    <mergeCell ref="B4:C4"/>
    <mergeCell ref="D4:E4"/>
    <mergeCell ref="B5:C5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Brendan Doherty;Justine Hirschfeld</dc:creator>
  <dcterms:created xsi:type="dcterms:W3CDTF">2011-06-08T03:58:06Z</dcterms:created>
  <dcterms:modified xsi:type="dcterms:W3CDTF">2022-08-22T23:25:39Z</dcterms:modified>
  <cp:lastModifiedBy>Kurtis Ball</cp:lastModifiedBy>
  <cp:lastPrinted>2019-08-07T22:28:42Z</cp:lastPrinted>
</cp:coreProperties>
</file>