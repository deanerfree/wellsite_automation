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7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8.xml" ContentType="application/vnd.openxmlformats-officedocument.drawing+xml"/>
  <Override PartName="/xl/ctrlProps/ctrlProp33.xml" ContentType="application/vnd.ms-excel.controlpropertie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3.xml" ContentType="application/vnd.openxmlformats-officedocument.drawing+xml"/>
  <Override PartName="/xl/ctrlProps/ctrlProp4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50a630392c447f6/Desktop/SPL 1-13 HZ 104 MARTENH 04-17-074-25W4/"/>
    </mc:Choice>
  </mc:AlternateContent>
  <xr:revisionPtr revIDLastSave="0" documentId="8_{2D104F78-55AD-4A1F-A95D-369902054212}" xr6:coauthVersionLast="47" xr6:coauthVersionMax="47" xr10:uidLastSave="{00000000-0000-0000-0000-000000000000}"/>
  <bookViews>
    <workbookView xWindow="720" yWindow="720" windowWidth="19200" windowHeight="11170" tabRatio="934" activeTab="8" xr2:uid="{00000000-000D-0000-FFFF-FFFF00000000}"/>
  </bookViews>
  <sheets>
    <sheet name="Well Data" sheetId="2" r:id="rId1"/>
    <sheet name="Tops (Hz)" sheetId="4" r:id="rId2"/>
    <sheet name="Bit" sheetId="5" r:id="rId3"/>
    <sheet name="Criteria" sheetId="76" state="hidden" r:id="rId4"/>
    <sheet name="T&amp;L 1" sheetId="19" r:id="rId5"/>
    <sheet name="T&amp;L 2" sheetId="92" r:id="rId6"/>
    <sheet name="T&amp;L 3" sheetId="93" r:id="rId7"/>
    <sheet name="T&amp;L 4" sheetId="94" r:id="rId8"/>
    <sheet name="T&amp;L 5" sheetId="95" r:id="rId9"/>
    <sheet name="T&amp;L 6" sheetId="96" r:id="rId10"/>
    <sheet name="Reservoir Quality Log" sheetId="74" r:id="rId11"/>
    <sheet name="Porosity Log" sheetId="17" r:id="rId12"/>
    <sheet name="T&amp;L 7" sheetId="97" r:id="rId13"/>
    <sheet name="T&amp;L 8" sheetId="98" r:id="rId14"/>
    <sheet name="T&amp;L 9" sheetId="99" r:id="rId15"/>
    <sheet name="T&amp;L 10" sheetId="100" r:id="rId16"/>
    <sheet name="Daily" sheetId="101" r:id="rId17"/>
    <sheet name="Logging Report" sheetId="109" r:id="rId18"/>
    <sheet name="Dev. Surveys" sheetId="102" r:id="rId19"/>
    <sheet name="Core Recovery Report" sheetId="103" r:id="rId20"/>
    <sheet name="Core Description Report" sheetId="104" r:id="rId21"/>
  </sheets>
  <externalReferences>
    <externalReference r:id="rId22"/>
    <externalReference r:id="rId23"/>
    <externalReference r:id="rId24"/>
    <externalReference r:id="rId25"/>
  </externalReferences>
  <definedNames>
    <definedName name="B.S.">'[1]MWD Surv'!$J$5</definedName>
    <definedName name="Common_Formations">[2]Dropdown_Lists!$A$2:$A$385</definedName>
    <definedName name="Intermediate">'Well Data'!$A$68</definedName>
    <definedName name="Leg_1">'Well Data'!$A$26</definedName>
    <definedName name="Leg_10">'Well Data'!$A$34</definedName>
    <definedName name="Leg_11">'Well Data'!$A$35</definedName>
    <definedName name="Leg_12">'Well Data'!$A$36</definedName>
    <definedName name="Leg_13">'Well Data'!$A$37</definedName>
    <definedName name="Leg_14">'Well Data'!$A$38</definedName>
    <definedName name="Leg_15">'Well Data'!$A$39</definedName>
    <definedName name="Leg_2">'Well Data'!$A$27</definedName>
    <definedName name="Leg_3">'Well Data'!#REF!</definedName>
    <definedName name="Leg_4">'Well Data'!$A$28</definedName>
    <definedName name="Leg_5">'Well Data'!$A$29</definedName>
    <definedName name="Leg_6">'Well Data'!$A$30</definedName>
    <definedName name="Leg_7">'Well Data'!$A$31</definedName>
    <definedName name="Leg_8">'Well Data'!$A$32</definedName>
    <definedName name="Leg_9">'Well Data'!$A$33</definedName>
    <definedName name="Logs">IF('Tops (Hz)'!XET1=0,"-",'Tops (Hz)'!XET1-'Tops (Hz)'!XFB1)</definedName>
    <definedName name="pi">3.14159265</definedName>
    <definedName name="pird">3.14159265/180</definedName>
    <definedName name="_xlnm.Print_Area" localSheetId="4">'T&amp;L 1'!$A$6:$L$42</definedName>
    <definedName name="_xlnm.Print_Area" localSheetId="15">'T&amp;L 10'!$A$5:$L$37</definedName>
    <definedName name="_xlnm.Print_Area" localSheetId="5">'T&amp;L 2'!$A$5:$L$30</definedName>
    <definedName name="_xlnm.Print_Area" localSheetId="6">'T&amp;L 3'!$A$5:$L$40</definedName>
    <definedName name="_xlnm.Print_Area" localSheetId="7">'T&amp;L 4'!$A$5:$L$34</definedName>
    <definedName name="_xlnm.Print_Area" localSheetId="8">'T&amp;L 5'!$A$5:$L$38</definedName>
    <definedName name="_xlnm.Print_Area" localSheetId="9">'T&amp;L 6'!$A$5:$L$31</definedName>
    <definedName name="_xlnm.Print_Area" localSheetId="12">'T&amp;L 7'!$A$5:$L$37</definedName>
    <definedName name="_xlnm.Print_Area" localSheetId="13">'T&amp;L 8'!$A$5:$L$37</definedName>
    <definedName name="_xlnm.Print_Area" localSheetId="14">'T&amp;L 9'!$A$5:$L$37</definedName>
    <definedName name="_xlnm.Print_Area" localSheetId="0">'Well Data'!$A$1:$G$100</definedName>
    <definedName name="Prog_ISO">IF(AND('Tops (Hz)'!XFD2=0,'Tops (Hz)'!XFD1&lt;&gt;0),"-",'Tops (Hz)'!XFD1-'Tops (Hz)'!XFD2)</definedName>
    <definedName name="projazi">'[1]MWD Surv'!$F$5</definedName>
    <definedName name="RKB">[3]Basic!$B$6</definedName>
    <definedName name="SDLeg1">'Well Data'!$A$26</definedName>
    <definedName name="SDLeg15">'Well Data'!$A$39</definedName>
    <definedName name="TARDB">'T&amp;L 1'!$A$9:$L$34</definedName>
    <definedName name="TARDB10" localSheetId="15">'T&amp;L 10'!$A$8:$L$29</definedName>
    <definedName name="TARDB2" localSheetId="5">'T&amp;L 2'!$A$6:$L$22</definedName>
    <definedName name="TARDB3" localSheetId="6">'T&amp;L 3'!$A$8:$L$32</definedName>
    <definedName name="TARDB4" localSheetId="7">'T&amp;L 4'!$A$8:$L$34</definedName>
    <definedName name="TARDB5" localSheetId="8">'T&amp;L 5'!$A$8:$L$30</definedName>
    <definedName name="TARDB6" localSheetId="9">'T&amp;L 6'!$A$8:$L$23</definedName>
    <definedName name="TARDB7" localSheetId="12">'T&amp;L 7'!$A$8:$L$29</definedName>
    <definedName name="TARDB8" localSheetId="13">'T&amp;L 8'!$A$8:$L$29</definedName>
    <definedName name="TARDB9" localSheetId="14">'T&amp;L 9'!$A$8:$L$29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1" i="95" l="1"/>
  <c r="A12" i="95"/>
  <c r="A13" i="95"/>
  <c r="A14" i="95"/>
  <c r="A15" i="95"/>
  <c r="A16" i="95"/>
  <c r="A17" i="95"/>
  <c r="A18" i="95"/>
  <c r="A19" i="95"/>
  <c r="A10" i="95"/>
  <c r="A25" i="94"/>
  <c r="A11" i="94"/>
  <c r="A12" i="94"/>
  <c r="A13" i="94"/>
  <c r="A14" i="94"/>
  <c r="A15" i="94"/>
  <c r="A16" i="94"/>
  <c r="A17" i="94"/>
  <c r="A18" i="94"/>
  <c r="A19" i="94"/>
  <c r="A20" i="94"/>
  <c r="A21" i="94"/>
  <c r="A22" i="94"/>
  <c r="A23" i="94"/>
  <c r="A24" i="94"/>
  <c r="A26" i="94"/>
  <c r="A27" i="94"/>
  <c r="A28" i="94"/>
  <c r="A29" i="94"/>
  <c r="A30" i="94"/>
  <c r="A31" i="94"/>
  <c r="A32" i="94"/>
  <c r="A33" i="94"/>
  <c r="A34" i="94"/>
  <c r="A10" i="94"/>
  <c r="A31" i="93" l="1"/>
  <c r="A30" i="93"/>
  <c r="A11" i="93" l="1"/>
  <c r="A12" i="93"/>
  <c r="A13" i="93"/>
  <c r="A14" i="93"/>
  <c r="A15" i="93"/>
  <c r="A16" i="93"/>
  <c r="A17" i="93"/>
  <c r="A18" i="93"/>
  <c r="A19" i="93"/>
  <c r="A20" i="93"/>
  <c r="A21" i="93"/>
  <c r="A22" i="93"/>
  <c r="A23" i="93"/>
  <c r="A24" i="93"/>
  <c r="A25" i="93"/>
  <c r="A26" i="93"/>
  <c r="A27" i="93"/>
  <c r="A28" i="93"/>
  <c r="A29" i="93"/>
  <c r="A10" i="93"/>
  <c r="A9" i="92" l="1"/>
  <c r="A10" i="92"/>
  <c r="A11" i="92"/>
  <c r="A12" i="92"/>
  <c r="A13" i="92"/>
  <c r="A14" i="92"/>
  <c r="A15" i="92"/>
  <c r="A16" i="92"/>
  <c r="A17" i="92"/>
  <c r="A18" i="92"/>
  <c r="A19" i="92"/>
  <c r="A20" i="92"/>
  <c r="A21" i="92"/>
  <c r="A22" i="92"/>
  <c r="A8" i="92"/>
  <c r="B7" i="17" l="1"/>
  <c r="B8" i="17"/>
  <c r="B9" i="17"/>
  <c r="B10" i="17"/>
  <c r="B11" i="17"/>
  <c r="A29" i="19" l="1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30" i="19"/>
  <c r="A31" i="19"/>
  <c r="A32" i="19"/>
  <c r="A33" i="19"/>
  <c r="A34" i="19"/>
  <c r="A11" i="19"/>
  <c r="E18" i="4"/>
  <c r="E19" i="4"/>
  <c r="E20" i="4"/>
  <c r="A27" i="95" l="1"/>
  <c r="A28" i="95"/>
  <c r="A29" i="95"/>
  <c r="A30" i="95"/>
  <c r="N26" i="17" l="1"/>
  <c r="L29" i="17" s="1"/>
  <c r="Q23" i="17"/>
  <c r="P23" i="17"/>
  <c r="O23" i="17"/>
  <c r="M26" i="17" s="1"/>
  <c r="K29" i="17" s="1"/>
  <c r="N23" i="17"/>
  <c r="M23" i="17"/>
  <c r="K26" i="17" s="1"/>
  <c r="L23" i="17"/>
  <c r="J26" i="17" s="1"/>
  <c r="K23" i="17"/>
  <c r="I26" i="17" s="1"/>
  <c r="K28" i="17"/>
  <c r="P28" i="17"/>
  <c r="O28" i="17"/>
  <c r="N28" i="17"/>
  <c r="M28" i="17"/>
  <c r="L28" i="17"/>
  <c r="N29" i="17"/>
  <c r="O26" i="17" l="1"/>
  <c r="M29" i="17" s="1"/>
  <c r="L26" i="17"/>
  <c r="O29" i="17" s="1"/>
  <c r="L18" i="4"/>
  <c r="L19" i="4"/>
  <c r="E34" i="4" l="1"/>
  <c r="L34" i="4"/>
  <c r="H14" i="5" l="1"/>
  <c r="H17" i="5" s="1"/>
  <c r="G14" i="5"/>
  <c r="G17" i="5" s="1"/>
  <c r="F14" i="5"/>
  <c r="F17" i="5" s="1"/>
  <c r="E14" i="5"/>
  <c r="E17" i="5" s="1"/>
  <c r="D14" i="5"/>
  <c r="D17" i="5" s="1"/>
  <c r="E28" i="4" l="1"/>
  <c r="L28" i="4"/>
  <c r="E29" i="4"/>
  <c r="L29" i="4"/>
  <c r="M28" i="4" s="1"/>
  <c r="E30" i="4"/>
  <c r="L30" i="4"/>
  <c r="E31" i="4"/>
  <c r="L31" i="4"/>
  <c r="E32" i="4"/>
  <c r="L32" i="4"/>
  <c r="E33" i="4"/>
  <c r="L33" i="4"/>
  <c r="M29" i="4" l="1"/>
  <c r="M31" i="4"/>
  <c r="M32" i="4"/>
  <c r="M30" i="4"/>
  <c r="H9" i="74" l="1"/>
  <c r="E9" i="74"/>
  <c r="E12" i="4" l="1"/>
  <c r="E9" i="4"/>
  <c r="F9" i="74" l="1"/>
  <c r="G9" i="74"/>
  <c r="H10" i="74"/>
  <c r="G10" i="74"/>
  <c r="U9" i="98" l="1"/>
  <c r="U10" i="98"/>
  <c r="U11" i="98"/>
  <c r="A22" i="97" l="1"/>
  <c r="A23" i="97"/>
  <c r="A24" i="97"/>
  <c r="A25" i="97"/>
  <c r="A26" i="97"/>
  <c r="A27" i="97"/>
  <c r="A28" i="97"/>
  <c r="H12" i="74" l="1"/>
  <c r="G12" i="74"/>
  <c r="F12" i="74"/>
  <c r="B14" i="5" l="1"/>
  <c r="M33" i="4" l="1"/>
  <c r="M34" i="4"/>
  <c r="E10" i="4" l="1"/>
  <c r="E11" i="4"/>
  <c r="E13" i="4"/>
  <c r="E14" i="4"/>
  <c r="E15" i="4"/>
  <c r="E16" i="4"/>
  <c r="E17" i="4"/>
  <c r="E21" i="4"/>
  <c r="E22" i="4"/>
  <c r="E23" i="4"/>
  <c r="E24" i="4"/>
  <c r="E25" i="4"/>
  <c r="E26" i="4"/>
  <c r="E27" i="4"/>
  <c r="C12" i="74" l="1"/>
  <c r="D12" i="74"/>
  <c r="E12" i="74"/>
  <c r="D6" i="74" l="1"/>
  <c r="H6" i="74" l="1"/>
  <c r="G7" i="74" l="1"/>
  <c r="H7" i="74"/>
  <c r="E11" i="74" l="1"/>
  <c r="F11" i="74"/>
  <c r="G11" i="74"/>
  <c r="H11" i="74"/>
  <c r="E10" i="74"/>
  <c r="F10" i="74"/>
  <c r="E8" i="74"/>
  <c r="E7" i="74" l="1"/>
  <c r="F7" i="74"/>
  <c r="B6" i="17"/>
  <c r="B12" i="17"/>
  <c r="E6" i="74" l="1"/>
  <c r="H8" i="74" l="1"/>
  <c r="F8" i="74"/>
  <c r="G8" i="74"/>
  <c r="F6" i="74" l="1"/>
  <c r="G6" i="74" l="1"/>
  <c r="L22" i="4" l="1"/>
  <c r="M19" i="4" s="1"/>
  <c r="A11" i="100" l="1"/>
  <c r="A12" i="100"/>
  <c r="A13" i="100"/>
  <c r="A14" i="100"/>
  <c r="A15" i="100"/>
  <c r="A16" i="100"/>
  <c r="A17" i="100"/>
  <c r="A18" i="100"/>
  <c r="A19" i="100"/>
  <c r="A20" i="100"/>
  <c r="A21" i="100"/>
  <c r="A22" i="100"/>
  <c r="A23" i="100"/>
  <c r="A24" i="100"/>
  <c r="A25" i="100"/>
  <c r="A26" i="100"/>
  <c r="A27" i="100"/>
  <c r="A28" i="100"/>
  <c r="A10" i="100"/>
  <c r="A11" i="99"/>
  <c r="A12" i="99"/>
  <c r="A13" i="99"/>
  <c r="A14" i="99"/>
  <c r="A15" i="99"/>
  <c r="A16" i="99"/>
  <c r="A17" i="99"/>
  <c r="A18" i="99"/>
  <c r="A19" i="99"/>
  <c r="A20" i="99"/>
  <c r="A21" i="99"/>
  <c r="A22" i="99"/>
  <c r="A23" i="99"/>
  <c r="A24" i="99"/>
  <c r="A25" i="99"/>
  <c r="A26" i="99"/>
  <c r="A27" i="99"/>
  <c r="A28" i="99"/>
  <c r="A10" i="99"/>
  <c r="G13" i="74"/>
  <c r="A21" i="98"/>
  <c r="A22" i="98"/>
  <c r="A23" i="98"/>
  <c r="A24" i="98"/>
  <c r="A25" i="98"/>
  <c r="A26" i="98"/>
  <c r="A27" i="98"/>
  <c r="A28" i="98"/>
  <c r="H13" i="74"/>
  <c r="L23" i="4" l="1"/>
  <c r="L24" i="4"/>
  <c r="H15" i="74" l="1"/>
  <c r="G15" i="74"/>
  <c r="F15" i="74"/>
  <c r="E15" i="74"/>
  <c r="D15" i="74"/>
  <c r="H14" i="74"/>
  <c r="G14" i="74"/>
  <c r="F14" i="74"/>
  <c r="E14" i="74"/>
  <c r="D14" i="74"/>
  <c r="F13" i="74"/>
  <c r="E13" i="74"/>
  <c r="D13" i="74"/>
  <c r="D11" i="74"/>
  <c r="D10" i="74"/>
  <c r="D9" i="74"/>
  <c r="D8" i="74"/>
  <c r="D7" i="74"/>
  <c r="C15" i="74"/>
  <c r="C14" i="74"/>
  <c r="C13" i="74"/>
  <c r="C11" i="74"/>
  <c r="C10" i="74"/>
  <c r="C9" i="74"/>
  <c r="C8" i="74"/>
  <c r="C7" i="74"/>
  <c r="B12" i="74" l="1"/>
  <c r="B13" i="74"/>
  <c r="B11" i="74"/>
  <c r="B9" i="74"/>
  <c r="B8" i="74"/>
  <c r="B10" i="74"/>
  <c r="B7" i="74"/>
  <c r="D35" i="109"/>
  <c r="D34" i="109"/>
  <c r="D33" i="109"/>
  <c r="D32" i="109"/>
  <c r="D31" i="109"/>
  <c r="D30" i="109"/>
  <c r="D29" i="109"/>
  <c r="D28" i="109"/>
  <c r="D27" i="109"/>
  <c r="D26" i="109"/>
  <c r="D25" i="109"/>
  <c r="D22" i="109"/>
  <c r="F45" i="103"/>
  <c r="G45" i="103" s="1"/>
  <c r="G44" i="103"/>
  <c r="E44" i="103"/>
  <c r="G43" i="103"/>
  <c r="E43" i="103"/>
  <c r="G42" i="103"/>
  <c r="E42" i="103"/>
  <c r="G41" i="103"/>
  <c r="E41" i="103"/>
  <c r="G40" i="103"/>
  <c r="E40" i="103"/>
  <c r="G39" i="103"/>
  <c r="E39" i="103"/>
  <c r="G38" i="103"/>
  <c r="E38" i="103"/>
  <c r="G37" i="103"/>
  <c r="E37" i="103"/>
  <c r="G36" i="103"/>
  <c r="E36" i="103"/>
  <c r="G35" i="103"/>
  <c r="E35" i="103"/>
  <c r="G34" i="103"/>
  <c r="E34" i="103"/>
  <c r="G33" i="103"/>
  <c r="E33" i="103"/>
  <c r="G32" i="103"/>
  <c r="E32" i="103"/>
  <c r="G31" i="103"/>
  <c r="E31" i="103"/>
  <c r="G30" i="103"/>
  <c r="E30" i="103"/>
  <c r="G29" i="103"/>
  <c r="E29" i="103"/>
  <c r="G28" i="103"/>
  <c r="E28" i="103"/>
  <c r="G27" i="103"/>
  <c r="E27" i="103"/>
  <c r="G26" i="103"/>
  <c r="E26" i="103"/>
  <c r="G25" i="103"/>
  <c r="E25" i="103"/>
  <c r="G24" i="103"/>
  <c r="E24" i="103"/>
  <c r="G23" i="103"/>
  <c r="E23" i="103"/>
  <c r="G22" i="103"/>
  <c r="E22" i="103"/>
  <c r="G21" i="103"/>
  <c r="E21" i="103"/>
  <c r="G20" i="103"/>
  <c r="E20" i="103"/>
  <c r="G19" i="103"/>
  <c r="E19" i="103"/>
  <c r="G18" i="103"/>
  <c r="E18" i="103"/>
  <c r="G17" i="103"/>
  <c r="E17" i="103"/>
  <c r="G16" i="103"/>
  <c r="E16" i="103"/>
  <c r="G15" i="103"/>
  <c r="E15" i="103"/>
  <c r="G14" i="103"/>
  <c r="E14" i="103"/>
  <c r="E90" i="101"/>
  <c r="C90" i="101"/>
  <c r="E89" i="101"/>
  <c r="C89" i="101"/>
  <c r="E88" i="101"/>
  <c r="C88" i="101"/>
  <c r="E87" i="101"/>
  <c r="C87" i="101"/>
  <c r="E86" i="101"/>
  <c r="C86" i="101"/>
  <c r="E85" i="101"/>
  <c r="C85" i="101"/>
  <c r="E84" i="101"/>
  <c r="C84" i="101"/>
  <c r="E83" i="101"/>
  <c r="C83" i="101"/>
  <c r="E82" i="101"/>
  <c r="C82" i="101"/>
  <c r="E81" i="101"/>
  <c r="C81" i="101"/>
  <c r="E80" i="101"/>
  <c r="C80" i="101"/>
  <c r="E79" i="101"/>
  <c r="C79" i="101"/>
  <c r="E78" i="101"/>
  <c r="C78" i="101"/>
  <c r="E77" i="101"/>
  <c r="C77" i="101"/>
  <c r="E76" i="101"/>
  <c r="C76" i="101"/>
  <c r="E75" i="101"/>
  <c r="C75" i="101"/>
  <c r="E74" i="101"/>
  <c r="C74" i="101"/>
  <c r="E73" i="101"/>
  <c r="C73" i="101"/>
  <c r="E72" i="101"/>
  <c r="C72" i="101"/>
  <c r="E71" i="101"/>
  <c r="C71" i="101"/>
  <c r="E70" i="101"/>
  <c r="C70" i="101"/>
  <c r="E69" i="101"/>
  <c r="C69" i="101"/>
  <c r="E68" i="101"/>
  <c r="C68" i="101"/>
  <c r="E67" i="101"/>
  <c r="C67" i="101"/>
  <c r="E66" i="101"/>
  <c r="C66" i="101"/>
  <c r="E65" i="101"/>
  <c r="C65" i="101"/>
  <c r="E64" i="101"/>
  <c r="C64" i="101"/>
  <c r="E63" i="101"/>
  <c r="C63" i="101"/>
  <c r="E62" i="101"/>
  <c r="C62" i="101"/>
  <c r="E61" i="101"/>
  <c r="C61" i="101"/>
  <c r="E60" i="101"/>
  <c r="C60" i="101"/>
  <c r="E59" i="101"/>
  <c r="C59" i="101"/>
  <c r="E58" i="101"/>
  <c r="C58" i="101"/>
  <c r="E57" i="101"/>
  <c r="C57" i="101"/>
  <c r="E56" i="101"/>
  <c r="C56" i="101"/>
  <c r="E55" i="101"/>
  <c r="C55" i="101"/>
  <c r="E54" i="101"/>
  <c r="C54" i="101"/>
  <c r="E53" i="101"/>
  <c r="C53" i="101"/>
  <c r="E52" i="101"/>
  <c r="C52" i="101"/>
  <c r="E51" i="101"/>
  <c r="C51" i="101"/>
  <c r="E50" i="101"/>
  <c r="C50" i="101"/>
  <c r="E49" i="101"/>
  <c r="C49" i="101"/>
  <c r="E48" i="101"/>
  <c r="C48" i="101"/>
  <c r="E47" i="101"/>
  <c r="C47" i="101"/>
  <c r="E46" i="101"/>
  <c r="C46" i="101"/>
  <c r="E45" i="101"/>
  <c r="C45" i="101"/>
  <c r="E44" i="101"/>
  <c r="C44" i="101"/>
  <c r="E43" i="101"/>
  <c r="C43" i="101"/>
  <c r="E42" i="101"/>
  <c r="C42" i="101"/>
  <c r="E41" i="101"/>
  <c r="C41" i="101"/>
  <c r="E40" i="101"/>
  <c r="C40" i="101"/>
  <c r="E39" i="101"/>
  <c r="C39" i="101"/>
  <c r="E38" i="101"/>
  <c r="C38" i="101"/>
  <c r="E37" i="101"/>
  <c r="C37" i="101"/>
  <c r="E36" i="101"/>
  <c r="C36" i="101"/>
  <c r="E35" i="101"/>
  <c r="C35" i="101"/>
  <c r="E34" i="101"/>
  <c r="C34" i="101"/>
  <c r="E33" i="101"/>
  <c r="C33" i="101"/>
  <c r="E32" i="101"/>
  <c r="C32" i="101"/>
  <c r="E31" i="101"/>
  <c r="C31" i="101"/>
  <c r="E30" i="101"/>
  <c r="C30" i="101"/>
  <c r="E29" i="101"/>
  <c r="C29" i="101"/>
  <c r="E28" i="101"/>
  <c r="C28" i="101"/>
  <c r="E27" i="101"/>
  <c r="C27" i="101"/>
  <c r="E26" i="101"/>
  <c r="C26" i="101"/>
  <c r="E25" i="101"/>
  <c r="C25" i="101"/>
  <c r="E24" i="101"/>
  <c r="C24" i="101"/>
  <c r="E23" i="101"/>
  <c r="C23" i="101"/>
  <c r="E22" i="101"/>
  <c r="C22" i="101"/>
  <c r="E21" i="101"/>
  <c r="C21" i="101"/>
  <c r="E20" i="101"/>
  <c r="C20" i="101"/>
  <c r="E19" i="101"/>
  <c r="C19" i="101"/>
  <c r="E18" i="101"/>
  <c r="C18" i="101"/>
  <c r="E17" i="101"/>
  <c r="C17" i="101"/>
  <c r="E16" i="101"/>
  <c r="C16" i="101"/>
  <c r="E15" i="101"/>
  <c r="C15" i="101"/>
  <c r="E14" i="101"/>
  <c r="C14" i="101"/>
  <c r="E13" i="101"/>
  <c r="C13" i="101"/>
  <c r="E12" i="101"/>
  <c r="C12" i="101"/>
  <c r="E11" i="101"/>
  <c r="C11" i="101"/>
  <c r="E10" i="101"/>
  <c r="C10" i="101"/>
  <c r="E9" i="101"/>
  <c r="C9" i="101"/>
  <c r="E8" i="101"/>
  <c r="C8" i="101"/>
  <c r="E7" i="101"/>
  <c r="E45" i="103" l="1"/>
  <c r="U29" i="100"/>
  <c r="R29" i="100"/>
  <c r="U28" i="100"/>
  <c r="R28" i="100"/>
  <c r="U27" i="100"/>
  <c r="R27" i="100"/>
  <c r="U26" i="100"/>
  <c r="R26" i="100"/>
  <c r="U25" i="100"/>
  <c r="R25" i="100"/>
  <c r="U24" i="100"/>
  <c r="R24" i="100"/>
  <c r="U23" i="100"/>
  <c r="R23" i="100"/>
  <c r="U22" i="100"/>
  <c r="R22" i="100"/>
  <c r="U21" i="100"/>
  <c r="R21" i="100"/>
  <c r="U20" i="100"/>
  <c r="R20" i="100"/>
  <c r="U19" i="100"/>
  <c r="R19" i="100"/>
  <c r="U18" i="100"/>
  <c r="R18" i="100"/>
  <c r="U17" i="100"/>
  <c r="R17" i="100"/>
  <c r="U16" i="100"/>
  <c r="R16" i="100"/>
  <c r="U15" i="100"/>
  <c r="R15" i="100"/>
  <c r="U14" i="100"/>
  <c r="R14" i="100"/>
  <c r="U13" i="100"/>
  <c r="R13" i="100"/>
  <c r="U12" i="100"/>
  <c r="R12" i="100"/>
  <c r="U11" i="100"/>
  <c r="R11" i="100"/>
  <c r="U10" i="100"/>
  <c r="R10" i="100"/>
  <c r="U9" i="100"/>
  <c r="R9" i="100"/>
  <c r="U29" i="99"/>
  <c r="R29" i="99"/>
  <c r="U28" i="99"/>
  <c r="R28" i="99"/>
  <c r="U27" i="99"/>
  <c r="R27" i="99"/>
  <c r="U26" i="99"/>
  <c r="R26" i="99"/>
  <c r="U25" i="99"/>
  <c r="R25" i="99"/>
  <c r="U24" i="99"/>
  <c r="R24" i="99"/>
  <c r="U23" i="99"/>
  <c r="R23" i="99"/>
  <c r="U22" i="99"/>
  <c r="R22" i="99"/>
  <c r="U21" i="99"/>
  <c r="R21" i="99"/>
  <c r="U20" i="99"/>
  <c r="R20" i="99"/>
  <c r="U19" i="99"/>
  <c r="R19" i="99"/>
  <c r="U18" i="99"/>
  <c r="R18" i="99"/>
  <c r="U17" i="99"/>
  <c r="R17" i="99"/>
  <c r="U16" i="99"/>
  <c r="R16" i="99"/>
  <c r="U15" i="99"/>
  <c r="R15" i="99"/>
  <c r="U14" i="99"/>
  <c r="R14" i="99"/>
  <c r="U13" i="99"/>
  <c r="R13" i="99"/>
  <c r="U12" i="99"/>
  <c r="R12" i="99"/>
  <c r="U11" i="99"/>
  <c r="R11" i="99"/>
  <c r="U10" i="99"/>
  <c r="R10" i="99"/>
  <c r="U9" i="99"/>
  <c r="R9" i="99"/>
  <c r="U29" i="98"/>
  <c r="U28" i="98"/>
  <c r="U27" i="98"/>
  <c r="U26" i="98"/>
  <c r="U25" i="98"/>
  <c r="U24" i="98"/>
  <c r="U23" i="98"/>
  <c r="U22" i="98"/>
  <c r="U21" i="98"/>
  <c r="U20" i="98"/>
  <c r="U19" i="98"/>
  <c r="U18" i="98"/>
  <c r="U17" i="98"/>
  <c r="U16" i="98"/>
  <c r="U15" i="98"/>
  <c r="U14" i="98"/>
  <c r="U13" i="98"/>
  <c r="U12" i="98"/>
  <c r="B20" i="17" l="1"/>
  <c r="B19" i="17"/>
  <c r="B18" i="17"/>
  <c r="B17" i="17"/>
  <c r="B16" i="17"/>
  <c r="B15" i="17"/>
  <c r="B14" i="17"/>
  <c r="B13" i="17"/>
  <c r="B4" i="4" l="1"/>
  <c r="C19" i="4" s="1"/>
  <c r="H28" i="4" l="1"/>
  <c r="C20" i="4"/>
  <c r="C21" i="4"/>
  <c r="C18" i="4"/>
  <c r="H18" i="4"/>
  <c r="N18" i="4" s="1"/>
  <c r="H19" i="4"/>
  <c r="N19" i="4" s="1"/>
  <c r="C15" i="4"/>
  <c r="H34" i="4"/>
  <c r="I34" i="4" s="1"/>
  <c r="C34" i="4"/>
  <c r="C11" i="4"/>
  <c r="C14" i="4"/>
  <c r="C30" i="4"/>
  <c r="H32" i="4"/>
  <c r="H33" i="4"/>
  <c r="I33" i="4" s="1"/>
  <c r="C29" i="4"/>
  <c r="H31" i="4"/>
  <c r="C28" i="4"/>
  <c r="H30" i="4"/>
  <c r="C33" i="4"/>
  <c r="C31" i="4"/>
  <c r="H29" i="4"/>
  <c r="C32" i="4"/>
  <c r="C12" i="4"/>
  <c r="C10" i="4"/>
  <c r="C9" i="4"/>
  <c r="H11" i="4"/>
  <c r="N11" i="4" s="1"/>
  <c r="C13" i="4"/>
  <c r="C17" i="4"/>
  <c r="C23" i="4"/>
  <c r="C27" i="4"/>
  <c r="C22" i="4"/>
  <c r="C24" i="4"/>
  <c r="C16" i="4"/>
  <c r="C25" i="4"/>
  <c r="C26" i="4"/>
  <c r="H22" i="4"/>
  <c r="H27" i="4"/>
  <c r="N27" i="4" s="1"/>
  <c r="H26" i="4"/>
  <c r="H25" i="4"/>
  <c r="H24" i="4"/>
  <c r="H23" i="4"/>
  <c r="H21" i="4"/>
  <c r="H20" i="4"/>
  <c r="N20" i="4" s="1"/>
  <c r="H17" i="4"/>
  <c r="N17" i="4" s="1"/>
  <c r="H16" i="4"/>
  <c r="H15" i="4"/>
  <c r="H14" i="4"/>
  <c r="N14" i="4" s="1"/>
  <c r="H13" i="4"/>
  <c r="N13" i="4" s="1"/>
  <c r="H12" i="4"/>
  <c r="N12" i="4" s="1"/>
  <c r="H10" i="4"/>
  <c r="N10" i="4" s="1"/>
  <c r="H9" i="4"/>
  <c r="N9" i="4" s="1"/>
  <c r="I25" i="4" l="1"/>
  <c r="I19" i="4"/>
  <c r="I30" i="4"/>
  <c r="N21" i="4"/>
  <c r="I18" i="4"/>
  <c r="I32" i="4"/>
  <c r="I31" i="4"/>
  <c r="I27" i="4"/>
  <c r="I29" i="4"/>
  <c r="I28" i="4"/>
  <c r="N26" i="4"/>
  <c r="I26" i="4"/>
  <c r="I23" i="4"/>
  <c r="I24" i="4"/>
  <c r="N34" i="4"/>
  <c r="N30" i="4"/>
  <c r="N31" i="4"/>
  <c r="N28" i="4"/>
  <c r="N33" i="4"/>
  <c r="N32" i="4"/>
  <c r="N23" i="4"/>
  <c r="I22" i="4"/>
  <c r="N22" i="4"/>
  <c r="I21" i="4"/>
  <c r="N29" i="4"/>
  <c r="N25" i="4"/>
  <c r="N24" i="4"/>
  <c r="I20" i="4"/>
  <c r="L27" i="4"/>
  <c r="L26" i="4"/>
  <c r="L25" i="4"/>
  <c r="L21" i="4"/>
  <c r="M18" i="4" s="1"/>
  <c r="L20" i="4"/>
  <c r="L17" i="4"/>
  <c r="I16" i="4"/>
  <c r="I15" i="4"/>
  <c r="I13" i="4"/>
  <c r="I12" i="4"/>
  <c r="I11" i="4"/>
  <c r="I9" i="4"/>
  <c r="M24" i="4" l="1"/>
  <c r="M27" i="4"/>
  <c r="M23" i="4"/>
  <c r="M22" i="4"/>
  <c r="M20" i="4"/>
  <c r="M17" i="4"/>
  <c r="M26" i="4"/>
  <c r="M21" i="4"/>
  <c r="I10" i="4"/>
  <c r="I14" i="4"/>
  <c r="I17" i="4"/>
  <c r="M25" i="4"/>
  <c r="B3" i="4" l="1"/>
  <c r="H22" i="74" l="1"/>
  <c r="C6" i="74"/>
  <c r="B6" i="74" l="1"/>
  <c r="G22" i="74"/>
  <c r="F22" i="74"/>
  <c r="E22" i="74"/>
  <c r="D22" i="74"/>
  <c r="B20" i="74"/>
  <c r="B19" i="74"/>
  <c r="B18" i="74"/>
  <c r="B17" i="74"/>
  <c r="B16" i="74"/>
  <c r="B15" i="74"/>
  <c r="B14" i="74"/>
  <c r="C22" i="74" l="1"/>
  <c r="B17" i="5"/>
  <c r="C14" i="5"/>
  <c r="C17" i="5" s="1"/>
  <c r="P14" i="5"/>
  <c r="P17" i="5" s="1"/>
  <c r="B16" i="5"/>
  <c r="C16" i="5" l="1"/>
  <c r="D16" i="5" s="1"/>
  <c r="E16" i="5" s="1"/>
  <c r="F16" i="5" l="1"/>
  <c r="G16" i="5" s="1"/>
  <c r="H16" i="5" s="1"/>
  <c r="P16" i="5"/>
  <c r="B22" i="74"/>
  <c r="C23" i="74" l="1"/>
  <c r="H23" i="74"/>
  <c r="D23" i="74"/>
  <c r="E23" i="74"/>
  <c r="G23" i="74"/>
  <c r="F23" i="74"/>
  <c r="L16" i="4" l="1"/>
  <c r="L13" i="4"/>
  <c r="L12" i="4"/>
  <c r="L11" i="4"/>
  <c r="L9" i="4"/>
  <c r="L14" i="4"/>
  <c r="L15" i="4"/>
  <c r="L10" i="4"/>
  <c r="B22" i="17"/>
  <c r="D22" i="17"/>
  <c r="E22" i="17"/>
  <c r="F22" i="17"/>
  <c r="G22" i="17"/>
  <c r="H22" i="17"/>
  <c r="C22" i="17"/>
  <c r="G23" i="17" l="1"/>
  <c r="F23" i="17"/>
  <c r="C23" i="17"/>
  <c r="M10" i="4"/>
  <c r="M14" i="4"/>
  <c r="M11" i="4"/>
  <c r="M9" i="4"/>
  <c r="M13" i="4"/>
  <c r="M12" i="4"/>
  <c r="M16" i="4"/>
  <c r="M15" i="4"/>
  <c r="H23" i="17"/>
  <c r="E23" i="17"/>
  <c r="D23" i="17"/>
  <c r="N16" i="4"/>
  <c r="N15" i="4"/>
</calcChain>
</file>

<file path=xl/sharedStrings.xml><?xml version="1.0" encoding="utf-8"?>
<sst xmlns="http://schemas.openxmlformats.org/spreadsheetml/2006/main" count="989" uniqueCount="424">
  <si>
    <t>SITE DATA</t>
  </si>
  <si>
    <t>ELEVATIONS</t>
  </si>
  <si>
    <t>DRILLING DATES</t>
  </si>
  <si>
    <t>HOLE SIZE &amp; MUD TYPE</t>
  </si>
  <si>
    <t>CASING DATA</t>
  </si>
  <si>
    <t>GEOLOGICAL DATA</t>
  </si>
  <si>
    <t xml:space="preserve">WELL STATUS </t>
  </si>
  <si>
    <t>FORMATION TOPS</t>
  </si>
  <si>
    <t xml:space="preserve"> </t>
  </si>
  <si>
    <t>Iso.</t>
  </si>
  <si>
    <t>WELLSITE BIT RECORD</t>
  </si>
  <si>
    <t>ROP (m/hr)</t>
  </si>
  <si>
    <t>FOB</t>
  </si>
  <si>
    <t>RPM</t>
  </si>
  <si>
    <t>Hours</t>
  </si>
  <si>
    <t>-</t>
  </si>
  <si>
    <t>UWI</t>
  </si>
  <si>
    <t>*Prognosis TVD's Adjusted to Actual K.B Value.</t>
  </si>
  <si>
    <t>Well Name</t>
  </si>
  <si>
    <t>Surface Location</t>
  </si>
  <si>
    <t>Bottom Location</t>
  </si>
  <si>
    <t>Field/Region</t>
  </si>
  <si>
    <t>Operator</t>
  </si>
  <si>
    <t>Bottomhole Coordinates</t>
  </si>
  <si>
    <t xml:space="preserve">Surface Coordinates </t>
  </si>
  <si>
    <t xml:space="preserve">Well Classification </t>
  </si>
  <si>
    <t>Well License #</t>
  </si>
  <si>
    <t xml:space="preserve">Drilling Contractor </t>
  </si>
  <si>
    <t xml:space="preserve">Ground Level  </t>
  </si>
  <si>
    <t xml:space="preserve">Spud Date </t>
  </si>
  <si>
    <t>Rig Release Date</t>
  </si>
  <si>
    <t xml:space="preserve">Surface </t>
  </si>
  <si>
    <t xml:space="preserve">Intermediate </t>
  </si>
  <si>
    <t>Lateral</t>
  </si>
  <si>
    <t>Intermediate</t>
  </si>
  <si>
    <t>Sample Interval</t>
  </si>
  <si>
    <t>Gas Detection Interval</t>
  </si>
  <si>
    <t>Client Contact</t>
  </si>
  <si>
    <t>WELL DATA SUMMARY</t>
  </si>
  <si>
    <t>Leg 1</t>
  </si>
  <si>
    <t>Leg 2</t>
  </si>
  <si>
    <t>Leg 3</t>
  </si>
  <si>
    <t>Leg 4</t>
  </si>
  <si>
    <t>Leg 5</t>
  </si>
  <si>
    <t>Leg 6</t>
  </si>
  <si>
    <t>Leg 7</t>
  </si>
  <si>
    <t>From</t>
  </si>
  <si>
    <t>To</t>
  </si>
  <si>
    <t>PDC Bit:</t>
  </si>
  <si>
    <t>A/B/C/D</t>
  </si>
  <si>
    <t>Tricone Bit:</t>
  </si>
  <si>
    <t>IR/OR/D/L</t>
  </si>
  <si>
    <t>B/G/O/RP</t>
  </si>
  <si>
    <t>Leg #</t>
  </si>
  <si>
    <t>Bit #</t>
  </si>
  <si>
    <t>Make</t>
  </si>
  <si>
    <t>Type</t>
  </si>
  <si>
    <t>Serial #</t>
  </si>
  <si>
    <t>Jets</t>
  </si>
  <si>
    <t>Depth In</t>
  </si>
  <si>
    <t>Depth Out</t>
  </si>
  <si>
    <t>Metres</t>
  </si>
  <si>
    <t>Acc. Hrs.</t>
  </si>
  <si>
    <t xml:space="preserve">Den </t>
  </si>
  <si>
    <t>Viscosity</t>
  </si>
  <si>
    <t>Max Dev.°</t>
  </si>
  <si>
    <t>Size (mm)</t>
  </si>
  <si>
    <t>PP</t>
  </si>
  <si>
    <t>Notes:</t>
  </si>
  <si>
    <t>ICP Coordinates</t>
  </si>
  <si>
    <t>ICP Date</t>
  </si>
  <si>
    <t>POROSITY LOG</t>
  </si>
  <si>
    <t>Leg Length</t>
  </si>
  <si>
    <t>ɸ &lt;9%</t>
  </si>
  <si>
    <t>ɸ 9%</t>
  </si>
  <si>
    <t>ɸ 12%</t>
  </si>
  <si>
    <t>ɸ 15%</t>
  </si>
  <si>
    <t>ɸ &gt;18%</t>
  </si>
  <si>
    <t>Total</t>
  </si>
  <si>
    <t>%</t>
  </si>
  <si>
    <t>K.B.</t>
  </si>
  <si>
    <t>G.L.</t>
  </si>
  <si>
    <t>Formation</t>
  </si>
  <si>
    <t>Prognosis</t>
  </si>
  <si>
    <t>Sample</t>
  </si>
  <si>
    <t>Porosity and Reservoir Quality Summary</t>
  </si>
  <si>
    <t>Measured Depth</t>
  </si>
  <si>
    <t>Porosity (%)</t>
  </si>
  <si>
    <t>High</t>
  </si>
  <si>
    <t>Low</t>
  </si>
  <si>
    <t>Comments</t>
  </si>
  <si>
    <t>Quality</t>
  </si>
  <si>
    <t>Kelly Bushing</t>
  </si>
  <si>
    <t>WELL INFORMATION</t>
  </si>
  <si>
    <t xml:space="preserve">AFE Number </t>
  </si>
  <si>
    <t>Well Type</t>
  </si>
  <si>
    <t>Log</t>
  </si>
  <si>
    <t>Reservoir Quality / Representative Sample</t>
  </si>
  <si>
    <r>
      <rPr>
        <b/>
        <i/>
        <sz val="10"/>
        <rFont val="Arial"/>
        <family val="2"/>
      </rPr>
      <t xml:space="preserve">f </t>
    </r>
    <r>
      <rPr>
        <b/>
        <sz val="10"/>
        <rFont val="Arial"/>
        <family val="2"/>
      </rPr>
      <t>(m)</t>
    </r>
  </si>
  <si>
    <t>ɸ 18%</t>
  </si>
  <si>
    <t>NAME OF RPS CONSULTANT(S) ON WELL</t>
  </si>
  <si>
    <t>**Please do not add or remove any columns**</t>
  </si>
  <si>
    <t>Time</t>
  </si>
  <si>
    <t>**Please remember to insert the Bit # and the Leg # (if necessary)**
**Please do not add or remove any columns**</t>
  </si>
  <si>
    <t>Target Formation</t>
  </si>
  <si>
    <t xml:space="preserve">TARGET AND LATERAL SUMMARY </t>
  </si>
  <si>
    <t>Name &amp; Designation(s)</t>
  </si>
  <si>
    <t>Reservoir</t>
  </si>
  <si>
    <t>**Please do not add or remove any columns or rows**</t>
  </si>
  <si>
    <t>MD
(m)</t>
  </si>
  <si>
    <t>TVD
(m)*</t>
  </si>
  <si>
    <t>SS
(m)</t>
  </si>
  <si>
    <t>TVD
(m)</t>
  </si>
  <si>
    <t xml:space="preserve">
high(+)
low(-)</t>
  </si>
  <si>
    <t>Leg 8</t>
  </si>
  <si>
    <t>Leg 9</t>
  </si>
  <si>
    <t>Leg 10</t>
  </si>
  <si>
    <t>Leg 11</t>
  </si>
  <si>
    <t>Leg 12</t>
  </si>
  <si>
    <t>Leg 13</t>
  </si>
  <si>
    <t>Leg 14</t>
  </si>
  <si>
    <t>Leg 15</t>
  </si>
  <si>
    <t>Logging Suite</t>
  </si>
  <si>
    <t>Core Intervals</t>
  </si>
  <si>
    <t>send in the license and any amendments with the final report files</t>
  </si>
  <si>
    <t>submit the directional surveys in txt or excel format (no PDFs)</t>
  </si>
  <si>
    <t>1.</t>
  </si>
  <si>
    <t>2.</t>
  </si>
  <si>
    <t>Just a reminder to please:</t>
  </si>
  <si>
    <t>RESERVOIR QUALITY LOG</t>
  </si>
  <si>
    <t>Type 0</t>
  </si>
  <si>
    <t>Type 1</t>
  </si>
  <si>
    <t>Type 2</t>
  </si>
  <si>
    <t>Type 3</t>
  </si>
  <si>
    <t>Type 4</t>
  </si>
  <si>
    <t>Type 5</t>
  </si>
  <si>
    <t>Leg #1</t>
  </si>
  <si>
    <t>Leg #2</t>
  </si>
  <si>
    <t>TD Date - Leg 1</t>
  </si>
  <si>
    <t>TD Date - Leg 2</t>
  </si>
  <si>
    <t>TD Date - Leg 4</t>
  </si>
  <si>
    <t>TD Date - Leg 5</t>
  </si>
  <si>
    <t>TD Date - Leg 8</t>
  </si>
  <si>
    <t>TD Date - Leg 9</t>
  </si>
  <si>
    <t>TD Date - Leg 11</t>
  </si>
  <si>
    <t>TD Date - Leg 12</t>
  </si>
  <si>
    <t>TD Date - Leg 13</t>
  </si>
  <si>
    <t>TD Date - Leg 14</t>
  </si>
  <si>
    <t>TD Date - Leg 15</t>
  </si>
  <si>
    <t>TD Date - Leg 10</t>
  </si>
  <si>
    <t>* The formulas on this sheet will populate as you add additional 'Target &amp; Lateral' sheets.  If you delete the sheets, you will need to click the 'Delete Errors' button above to clear the errors that will be let when the sheet no longer exists.</t>
  </si>
  <si>
    <t>Target Summary</t>
  </si>
  <si>
    <t>Initial Targets</t>
  </si>
  <si>
    <t>Revised Targets</t>
  </si>
  <si>
    <t>MD</t>
  </si>
  <si>
    <t>TVD</t>
  </si>
  <si>
    <t>Subsea</t>
  </si>
  <si>
    <t>Spur Petroleum Ltd.</t>
  </si>
  <si>
    <t>Multi-Leg Hz</t>
  </si>
  <si>
    <t>222mm, Floc water/gel-chem to ICP</t>
  </si>
  <si>
    <t>None</t>
  </si>
  <si>
    <t>Geologist Notes / Updates</t>
  </si>
  <si>
    <t>Leg #3</t>
  </si>
  <si>
    <t>Leg #4</t>
  </si>
  <si>
    <t>Leg #5</t>
  </si>
  <si>
    <t>Leg #6</t>
  </si>
  <si>
    <t>Leg #7</t>
  </si>
  <si>
    <t>Leg #8</t>
  </si>
  <si>
    <t>Leg #9</t>
  </si>
  <si>
    <t>Leg #10</t>
  </si>
  <si>
    <t>DAILY DRILLING SUMMARY</t>
  </si>
  <si>
    <t>Date</t>
  </si>
  <si>
    <t>MN Depth</t>
  </si>
  <si>
    <t>Progress</t>
  </si>
  <si>
    <t>Drilling
Hours</t>
  </si>
  <si>
    <t>ROP
(m/hr)</t>
  </si>
  <si>
    <t>Mud Properties</t>
  </si>
  <si>
    <t>Operations Summary</t>
  </si>
  <si>
    <t>Density</t>
  </si>
  <si>
    <t>Vis</t>
  </si>
  <si>
    <t>WL</t>
  </si>
  <si>
    <t>pH</t>
  </si>
  <si>
    <t>DEVIATION SURVEYS</t>
  </si>
  <si>
    <t>Depth</t>
  </si>
  <si>
    <t>Inclination</t>
  </si>
  <si>
    <t>Azimuth</t>
  </si>
  <si>
    <t>CORE RECOVERY REPORT</t>
  </si>
  <si>
    <t>Coring Company:</t>
  </si>
  <si>
    <t>Start Coring Date:</t>
  </si>
  <si>
    <t>Wireline Company (if applicable):</t>
  </si>
  <si>
    <t>Date Shipped:</t>
  </si>
  <si>
    <t>Geologist(s):</t>
  </si>
  <si>
    <t>Total Cored Interval:</t>
  </si>
  <si>
    <t># of Coring Runs:</t>
  </si>
  <si>
    <t>Target Formation Cored:</t>
  </si>
  <si>
    <t>Total Coring Time (hrs):</t>
  </si>
  <si>
    <t>Target Formation (top):</t>
  </si>
  <si>
    <t>Ambient Temperature:</t>
  </si>
  <si>
    <t>Target Formation (bottom):</t>
  </si>
  <si>
    <t>Analytical Lab:</t>
  </si>
  <si>
    <t>CORE No</t>
  </si>
  <si>
    <t>TUBE No</t>
  </si>
  <si>
    <t>INTERVAL
(m)</t>
  </si>
  <si>
    <t>CUT
(m)</t>
  </si>
  <si>
    <t>RECOVERED
(m)</t>
  </si>
  <si>
    <t>RECOVERY 
(%)</t>
  </si>
  <si>
    <t>COMMENTS</t>
  </si>
  <si>
    <t xml:space="preserve">Notes: </t>
  </si>
  <si>
    <t>CORE DESCRIPTION REPORT</t>
  </si>
  <si>
    <t>DEPTH INTERVAL</t>
  </si>
  <si>
    <t>DESCRIPTION</t>
  </si>
  <si>
    <t>WELLSITE LOGGING REPORT</t>
  </si>
  <si>
    <t>Hole Data</t>
  </si>
  <si>
    <t>Mud Data</t>
  </si>
  <si>
    <t>Logging Company</t>
  </si>
  <si>
    <t>Hole Size:</t>
  </si>
  <si>
    <t>Type:</t>
  </si>
  <si>
    <t>Logging Co.:</t>
  </si>
  <si>
    <t>TD Driller:</t>
  </si>
  <si>
    <t>Density:</t>
  </si>
  <si>
    <t>Engineer:</t>
  </si>
  <si>
    <t>Strap:</t>
  </si>
  <si>
    <t>Viscosity:</t>
  </si>
  <si>
    <t>Truck No.:</t>
  </si>
  <si>
    <t>TD Logger:</t>
  </si>
  <si>
    <t>W.L.:</t>
  </si>
  <si>
    <t>Start Date:</t>
  </si>
  <si>
    <t>Casing Driller:</t>
  </si>
  <si>
    <t>pH:</t>
  </si>
  <si>
    <t>Start Time:</t>
  </si>
  <si>
    <t>Casing Logger:</t>
  </si>
  <si>
    <t>End Date:</t>
  </si>
  <si>
    <t>Hole Condition:</t>
  </si>
  <si>
    <t>End Time:</t>
  </si>
  <si>
    <t>Logging Sequence</t>
  </si>
  <si>
    <t>Logged Interval</t>
  </si>
  <si>
    <t>Run Number</t>
  </si>
  <si>
    <t>Logs</t>
  </si>
  <si>
    <t>Remarks</t>
  </si>
  <si>
    <t>Total Hours:</t>
  </si>
  <si>
    <t>Logging Operations Summary</t>
  </si>
  <si>
    <t>Start Time</t>
  </si>
  <si>
    <t>End Time</t>
  </si>
  <si>
    <t>Elapsed Time</t>
  </si>
  <si>
    <t>Description of Operation</t>
  </si>
  <si>
    <t>Remarks and Comments</t>
  </si>
  <si>
    <t>Cased for potential Clearwater oil production.</t>
  </si>
  <si>
    <t>ICP</t>
  </si>
  <si>
    <t>311mm, Floc Water</t>
  </si>
  <si>
    <t>Graham Paul</t>
  </si>
  <si>
    <t>KOP</t>
  </si>
  <si>
    <t>Build Section</t>
  </si>
  <si>
    <t>Adjusted Targets</t>
  </si>
  <si>
    <t>Joli Fou</t>
  </si>
  <si>
    <t>Clearwater Group SS</t>
  </si>
  <si>
    <t>Second White Specs</t>
  </si>
  <si>
    <t>Viking</t>
  </si>
  <si>
    <t>STP #2</t>
  </si>
  <si>
    <t>XPL ( C )</t>
  </si>
  <si>
    <t xml:space="preserve">  </t>
  </si>
  <si>
    <t>STP #3</t>
  </si>
  <si>
    <t>STP #4</t>
  </si>
  <si>
    <t>STP #5</t>
  </si>
  <si>
    <t>TD Date - Leg 3</t>
  </si>
  <si>
    <t>2022-1-xx</t>
  </si>
  <si>
    <t>xxx hours</t>
  </si>
  <si>
    <t>Colorado</t>
  </si>
  <si>
    <t>Gmack</t>
  </si>
  <si>
    <t>Surface Hole</t>
  </si>
  <si>
    <t>3RR1</t>
  </si>
  <si>
    <t>3RR2</t>
  </si>
  <si>
    <t>3RR3</t>
  </si>
  <si>
    <t>3RR4</t>
  </si>
  <si>
    <t>Drillformance</t>
  </si>
  <si>
    <t>DF513</t>
  </si>
  <si>
    <t>5 X 10.30</t>
  </si>
  <si>
    <t>Trevor Cavicchi</t>
  </si>
  <si>
    <t>Milk River</t>
  </si>
  <si>
    <t>Grand Rapids</t>
  </si>
  <si>
    <t>M. Grand Rapids</t>
  </si>
  <si>
    <t>L. Grand Rapids</t>
  </si>
  <si>
    <t>Clearwater</t>
  </si>
  <si>
    <t>Clearwater 'A'</t>
  </si>
  <si>
    <t>Leg #1 TD</t>
  </si>
  <si>
    <t>Leg #2 TD</t>
  </si>
  <si>
    <t>Leg #3 TD</t>
  </si>
  <si>
    <t>Leg #4 TD</t>
  </si>
  <si>
    <t>Leg #5 TD</t>
  </si>
  <si>
    <t>Kurt Ball</t>
  </si>
  <si>
    <t>SPL 1-13 HZ 104 MartenH 4-17-74-25</t>
  </si>
  <si>
    <t>104/04-17-074-25W4/00</t>
  </si>
  <si>
    <t>04-17-074-25W4/00</t>
  </si>
  <si>
    <t>1-13-74-26W4</t>
  </si>
  <si>
    <t>MartenH</t>
  </si>
  <si>
    <t>0504937</t>
  </si>
  <si>
    <t>D22091</t>
  </si>
  <si>
    <t>296.3m North and 255.4m West of SE corner Section 13</t>
  </si>
  <si>
    <t>Tempco 7</t>
  </si>
  <si>
    <t>159 mm, Base Oil</t>
  </si>
  <si>
    <t>7 joints, Tenaris, H-40, 244.50mm, 48.07 kg/m set at 92.00m</t>
  </si>
  <si>
    <t>92.0mMD to FTD; Pason Gas Detector</t>
  </si>
  <si>
    <t>92.0mMD to FTD; GR</t>
  </si>
  <si>
    <t>Base of Fish Scales</t>
  </si>
  <si>
    <t>GXD-C1X</t>
  </si>
  <si>
    <t>3 X 15.90</t>
  </si>
  <si>
    <t>6000</t>
  </si>
  <si>
    <t>0-160</t>
  </si>
  <si>
    <t>3150</t>
  </si>
  <si>
    <t>1010-1130</t>
  </si>
  <si>
    <t>29-38</t>
  </si>
  <si>
    <t>0.58</t>
  </si>
  <si>
    <t>8 X 10.30</t>
  </si>
  <si>
    <t>7300-9800</t>
  </si>
  <si>
    <t>10000-14000</t>
  </si>
  <si>
    <t>0/35-40+mm</t>
  </si>
  <si>
    <t>89.8</t>
  </si>
  <si>
    <t>1020-1100</t>
  </si>
  <si>
    <t>30-45</t>
  </si>
  <si>
    <t>5m intervals 630.0m-793.0mMD (ICP); 20m intervals for Leg #1, 40m intervals Legs #2</t>
  </si>
  <si>
    <t>5.6m North and 347.2m East of Well Centre</t>
  </si>
  <si>
    <t>3-6%</t>
  </si>
  <si>
    <t>Gas low below 120u, mod clay cont,</t>
  </si>
  <si>
    <t>Gas increasing, -0.14m below target</t>
  </si>
  <si>
    <t>43-44</t>
  </si>
  <si>
    <t>low gas, poor sample qual. Good ROP/gamma</t>
  </si>
  <si>
    <t>12-18%</t>
  </si>
  <si>
    <t>3-9%</t>
  </si>
  <si>
    <t>low gas, irregular ROP, mnr irreg gamma, poor samples</t>
  </si>
  <si>
    <t>Good samples, mnr locz calc cmnt, tr coal</t>
  </si>
  <si>
    <t>Improving gas, gd ROP, tr coal, mnr calc cmt</t>
  </si>
  <si>
    <t>18-12%</t>
  </si>
  <si>
    <t>Mod gas, gd ROP/Gamma/incr calc cmt, tr coal frags</t>
  </si>
  <si>
    <t>850-880</t>
  </si>
  <si>
    <t>8000-14000</t>
  </si>
  <si>
    <t>0/45-55+mm</t>
  </si>
  <si>
    <t>Good ROP, mod gas, locz calc cmt, rr coal frags</t>
  </si>
  <si>
    <t>W dev calc stgs, incr coal, reduced ROP gamma intvls</t>
  </si>
  <si>
    <t>Improving gas, gd ROP, tr coal, locz calc cmt stks</t>
  </si>
  <si>
    <t>9-18%</t>
  </si>
  <si>
    <t>15-18</t>
  </si>
  <si>
    <t>Good ROP, mod gas, mnr silt &amp; clay, gamma high 60's low 70's</t>
  </si>
  <si>
    <t>Calc strns, reduced rop, dec gamma ~50api</t>
  </si>
  <si>
    <t>Good ROP, inc gas 650-800u, gamma low-mid 60's</t>
  </si>
  <si>
    <t>Good ROP, high gas &gt;700u, occ carb frag, gamma mid 60's</t>
  </si>
  <si>
    <t>Good ROP, mod gas ~600u, gamma mid-high 60's, 0.73m below target</t>
  </si>
  <si>
    <t>15-18%</t>
  </si>
  <si>
    <t>Inc gas, abndt qtz grns, mnr clay min,Gamma low-mid 60's</t>
  </si>
  <si>
    <t>Excellent rop, good gas ~600u avg, out of window @ 2545m MD</t>
  </si>
  <si>
    <t xml:space="preserve">Inc gas towards TD reached 993u. Gamma avg mid 60API occ low 70's. </t>
  </si>
  <si>
    <t>206.1m South and 2193.9m East of Well Centre</t>
  </si>
  <si>
    <t>9800-14400</t>
  </si>
  <si>
    <t>92.40</t>
  </si>
  <si>
    <t>Good gas, v mnr calc cmt, rr coal frags, red clay resid</t>
  </si>
  <si>
    <t>Good ROP, mod gas, incr calc cmt, locz coal stgs</t>
  </si>
  <si>
    <t>12-15%</t>
  </si>
  <si>
    <t>Inc calc cmt, mnr carb mat, drop in gas and rop.</t>
  </si>
  <si>
    <t>Good ROP, mod gas, dec calc cmt, Gamma low-mid 60's occ low 70's</t>
  </si>
  <si>
    <t>Inc calc cmt, inc carb mat,reduced ROP</t>
  </si>
  <si>
    <t>Good ROP, mod gas, gamma mid 60's</t>
  </si>
  <si>
    <t>Good ROP, abndt lse qtz grns, low-mid gamma, mnr inc carb mat</t>
  </si>
  <si>
    <t xml:space="preserve">Mod ROP, gamma mid 60's, gas low, occ inc calc cmt </t>
  </si>
  <si>
    <t>Good ROP, inc gas, tr carb frags</t>
  </si>
  <si>
    <t>109.7m South and 1800.9m East of Well Centre</t>
  </si>
  <si>
    <t>10000-13000</t>
  </si>
  <si>
    <t>0/50-55+mm</t>
  </si>
  <si>
    <t>9800-13900</t>
  </si>
  <si>
    <t>870-880</t>
  </si>
  <si>
    <t>44-46</t>
  </si>
  <si>
    <t>92.92</t>
  </si>
  <si>
    <t>SS: lt gy-dull yel, predy uncons grns wi rr w cmtd aggs, locz wkly cmtd aggs, w srtd, lf-uf grnd, wi com uvf and rr lm, sa-sr, clr and fros qtz grns wi com lt-dk gy, wht &amp; off wht, blk cht, mnr arg stks, rr pyr, mnr locz stks of abdnt calc cmt, tr coal/carb stgs, mnr silt/clay resid, locz silty stgs, est 15-18% eff intgrn por, IA.</t>
  </si>
  <si>
    <t>SS: lt gy-dull yel, predy uncons grns wi com w cmtd aggs, rr wkly cmtd aggs, w srtd, lf-uf grnd, wi com uvf and rr lm, sa-sr, clr and fros qtz grns wi com lt-dk gy, wht &amp; off wht, blk cht, mnr arg stks, occ pyr, stks of abdnt calc cmt, occ coal/carb stgs, mod silt/clay resid, tr sltst stgs, est 12-18% eff intgrn por wi locz w dev stks of 3-9% por, IA and stks of III.</t>
  </si>
  <si>
    <t>SS: lt gy-dull yel, predy uncons grns wi com w cmtd aggs, locz wkly cmtd aggs, w srtd, lf-uf grnd, wi com uvf and rr lm, sa-sr, clr and fros qtz grns wi com lt-dk gy, wht &amp; off wht, blk cht, mnr arg stks, occ pyr, stks of abdnt calc cmt, mod silt/clay resid, com coal/carb stgs, locz silty stgs, est 12-15% eff intgrn por wi w dev 3-9% por stks, IA and stks of III.</t>
  </si>
  <si>
    <t>SS: lt gy-dull yel, predy uncons grns wi tr w cmtd aggs, locz wkly cmtd aggs, w srtd, lf-uf grnd, wi com uvf and rr lm, sa-sr, clr and fros qtz grns wi com lt-dk gy, wht &amp; off wht, blk cht, mnr arg stks, rr pyr, locz stks of abdnt calc cmt, mod-decr silt/clay resid, tr coal/carb frags, locz silty stgs, est 12-18% eff intgrn por, IA.</t>
  </si>
  <si>
    <t>Incr gas, red calc cmt, occ coal frags</t>
  </si>
  <si>
    <t>Red. Gas, incr calc cmt, tr coal frags, &gt;tl</t>
  </si>
  <si>
    <t>Incr gas, red calc cmt, occ coal frags, top wdw</t>
  </si>
  <si>
    <t>Decr gas, intmt ROP, incr calc stgs, btm wdw.</t>
  </si>
  <si>
    <t>15-12%</t>
  </si>
  <si>
    <t>W dev tt stks, incr cacl, com coal stgs, &lt;tl</t>
  </si>
  <si>
    <t>Low gas, intmt ROP, incr calc stgs, btm wdw.</t>
  </si>
  <si>
    <t>Decr gas, intmt ROP, incr calc stgs, &lt;TL.</t>
  </si>
  <si>
    <t>Incr gas, red calc cmt, occ coal frags, &lt;TL</t>
  </si>
  <si>
    <t>Inc calc cmt, dec gas, drop gamma</t>
  </si>
  <si>
    <t>Inc gas, tr carb frag, occ calc stgs</t>
  </si>
  <si>
    <t>dec gas, inc calc cmt stgs, btm wdw</t>
  </si>
  <si>
    <t>Decr gas, good ROP, occ calc stgs.</t>
  </si>
  <si>
    <t>Inc gas, good ROP, occ mod calc cmt, mid 60's to low 70's Gamma</t>
  </si>
  <si>
    <t>18-15%</t>
  </si>
  <si>
    <t>Inc sliding dec ROP &amp; gas, occ calc conc</t>
  </si>
  <si>
    <t>Good ROP, High gas gamma mid to high 60's</t>
  </si>
  <si>
    <t>11.2m South &amp; 2102.7m East of Well Centre</t>
  </si>
  <si>
    <t>10500-14900</t>
  </si>
  <si>
    <t>43-45</t>
  </si>
  <si>
    <t>Mod gas, gd ROP/Gamma, mnr calc cmt, TL-btm wdw</t>
  </si>
  <si>
    <t>Gd gas/Rop, v mnr calc cmt, on TL</t>
  </si>
  <si>
    <t>40 joints, Tenaris, J-55, 177.80mm, 29.76kg/m, set at 793.00m</t>
  </si>
  <si>
    <t>21 joints, Tenaris, J-55, 177.80mm, 34.23kg/m, set at 273.33m</t>
  </si>
  <si>
    <t>92.31</t>
  </si>
  <si>
    <t>13000</t>
  </si>
  <si>
    <t>0-55+mm</t>
  </si>
  <si>
    <t>14900</t>
  </si>
  <si>
    <t>870</t>
  </si>
  <si>
    <t>44</t>
  </si>
  <si>
    <t>0-9%</t>
  </si>
  <si>
    <t>Mod gas, incr calc cmt, tt stks, TL-btm wdw</t>
  </si>
  <si>
    <t>Mod gas, incr calc cmt, tt stks, TL</t>
  </si>
  <si>
    <t>W dev tt stks, incr cacl, com coal stgs, @TL</t>
  </si>
  <si>
    <t>W dev tt stks, incr cacl, com coal stgs, top wdw-&gt;wdw</t>
  </si>
  <si>
    <t>low gas, com calc cmt, incr silty resid, top wdw</t>
  </si>
  <si>
    <t>low gas, com calc cmt, incr silty resid, top wdw-&lt;TL</t>
  </si>
  <si>
    <t>Incr gas, red calc cmt, occ coal frags, top wdw-TL</t>
  </si>
  <si>
    <t>Gd ROP Gamma low 60's, occ calc stgs</t>
  </si>
  <si>
    <t>Gd ROP Gamma low 60's occ high 50's, occ coal strns, occ tt strk</t>
  </si>
  <si>
    <t>Gd ROP , gd gas, gamma mid 60's occ low 60's</t>
  </si>
  <si>
    <t>Good ROP mid gamma, occ tt stk</t>
  </si>
  <si>
    <t xml:space="preserve">Low gamma mid 50's to low 50's, occ low 50's, low gas </t>
  </si>
  <si>
    <t>Gd rock, lots of sliding, occ calc strn, mod gas</t>
  </si>
  <si>
    <t>15-9%</t>
  </si>
  <si>
    <t>0-3%</t>
  </si>
  <si>
    <t>Com calc cmt, low gamma, low gas</t>
  </si>
  <si>
    <t>Com silt strn, high gamma &gt;80, low gas</t>
  </si>
  <si>
    <t>Dominate silt in cuttings</t>
  </si>
  <si>
    <t>18-9%</t>
  </si>
  <si>
    <t>com silt strn, dec gamma &gt;80, low 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</si>
</sst>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0.0"/>
    <numFmt numFmtId="165" formatCode="&quot;G.L.(m):&quot;\ \ 0.00"/>
    <numFmt numFmtId="166" formatCode="hh:mm\ &quot;hours&quot;"/>
    <numFmt numFmtId="167" formatCode="0.0\ &quot;m&quot;"/>
    <numFmt numFmtId="168" formatCode="[$-409]d/mmm/yy;@"/>
    <numFmt numFmtId="169" formatCode="[$-1009]mmmm\ d\,\ yyyy;@"/>
    <numFmt numFmtId="170" formatCode="0.00\ &quot;m&quot;"/>
    <numFmt numFmtId="171" formatCode="0.0%"/>
    <numFmt numFmtId="172" formatCode="[$-1009]d/mmm/yy;@"/>
    <numFmt numFmtId="173" formatCode="0.00;[Red]0.00"/>
    <numFmt numFmtId="174" formatCode="0.0\ &quot;mm&quot;"/>
    <numFmt numFmtId="175" formatCode="dd\ mmm\ yy"/>
    <numFmt numFmtId="176" formatCode="hh:mm"/>
    <numFmt numFmtId="177" formatCode="h\.m"/>
  </numFmts>
  <fonts count="59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name val="Arial"/>
      <family val="2"/>
    </font>
    <font>
      <sz val="11"/>
      <name val="Arial"/>
      <family val="2"/>
    </font>
    <font>
      <b/>
      <sz val="18"/>
      <name val="Arial"/>
      <family val="2"/>
    </font>
    <font>
      <b/>
      <i/>
      <sz val="1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sz val="11"/>
      <name val="Arial"/>
      <family val="2"/>
    </font>
    <font>
      <sz val="18"/>
      <name val="Arial"/>
      <family val="2"/>
    </font>
    <font>
      <i/>
      <sz val="11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0"/>
      <color rgb="FF75004B"/>
      <name val="Arial"/>
      <family val="2"/>
    </font>
    <font>
      <b/>
      <sz val="18"/>
      <color rgb="FF75004B"/>
      <name val="Arial"/>
      <family val="2"/>
    </font>
    <font>
      <b/>
      <sz val="9"/>
      <color rgb="FF75004B"/>
      <name val="Arial"/>
      <family val="2"/>
    </font>
    <font>
      <sz val="10"/>
      <color rgb="FF75004B"/>
      <name val="Arial"/>
      <family val="2"/>
    </font>
    <font>
      <sz val="11"/>
      <color rgb="FFFF0000"/>
      <name val="Arial"/>
      <family val="2"/>
    </font>
    <font>
      <b/>
      <sz val="11"/>
      <color rgb="FFFF000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9"/>
      <color rgb="FF75004B"/>
      <name val="Arial"/>
      <family val="2"/>
    </font>
    <font>
      <sz val="10"/>
      <color rgb="FF339966"/>
      <name val="Arial"/>
      <family val="2"/>
    </font>
    <font>
      <sz val="10"/>
      <color rgb="FF3366FF"/>
      <name val="Arial"/>
      <family val="2"/>
    </font>
    <font>
      <sz val="10"/>
      <color rgb="FF993366"/>
      <name val="Arial"/>
      <family val="2"/>
    </font>
    <font>
      <sz val="11"/>
      <name val="Calibri"/>
      <family val="2"/>
    </font>
    <font>
      <sz val="7"/>
      <color rgb="FF000000"/>
      <name val="Arial"/>
      <family val="2"/>
    </font>
    <font>
      <b/>
      <sz val="10"/>
      <color rgb="FF71004B"/>
      <name val="Arial"/>
      <family val="2"/>
    </font>
    <font>
      <b/>
      <sz val="9"/>
      <color rgb="FF339966"/>
      <name val="Arial"/>
      <family val="2"/>
    </font>
    <font>
      <b/>
      <sz val="8"/>
      <color rgb="FF339966"/>
      <name val="Arial"/>
      <family val="2"/>
    </font>
    <font>
      <b/>
      <sz val="9"/>
      <color rgb="FFFF9900"/>
      <name val="Arial"/>
      <family val="2"/>
    </font>
    <font>
      <b/>
      <sz val="9"/>
      <color rgb="FF71004B"/>
      <name val="Arial"/>
      <family val="2"/>
    </font>
    <font>
      <sz val="10"/>
      <color rgb="FF71004B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Geneva"/>
      <family val="2"/>
    </font>
    <font>
      <sz val="11"/>
      <color indexed="9"/>
      <name val="Calibri"/>
      <family val="2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1"/>
      <color rgb="FFFF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indexed="26"/>
        <bgColor indexed="9"/>
      </patternFill>
    </fill>
    <fill>
      <patternFill patternType="solid">
        <fgColor rgb="FFD7D8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9"/>
        <bgColor indexed="40"/>
      </patternFill>
    </fill>
  </fills>
  <borders count="12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rgb="FF75004B"/>
      </bottom>
      <diagonal/>
    </border>
    <border>
      <left/>
      <right/>
      <top/>
      <bottom style="thin">
        <color rgb="FF75004B"/>
      </bottom>
      <diagonal/>
    </border>
    <border>
      <left/>
      <right/>
      <top style="thin">
        <color rgb="FF75004B"/>
      </top>
      <bottom style="medium">
        <color rgb="FF75004B"/>
      </bottom>
      <diagonal/>
    </border>
    <border>
      <left style="thin">
        <color rgb="FF75004B"/>
      </left>
      <right style="thin">
        <color rgb="FF75004B"/>
      </right>
      <top/>
      <bottom style="thin">
        <color rgb="FF75004B"/>
      </bottom>
      <diagonal/>
    </border>
    <border>
      <left/>
      <right/>
      <top style="thin">
        <color rgb="FF75004B"/>
      </top>
      <bottom style="thin">
        <color rgb="FF75004B"/>
      </bottom>
      <diagonal/>
    </border>
    <border>
      <left style="thin">
        <color rgb="FF75004B"/>
      </left>
      <right style="thin">
        <color rgb="FF75004B"/>
      </right>
      <top style="thin">
        <color rgb="FF75004B"/>
      </top>
      <bottom style="thin">
        <color rgb="FF75004B"/>
      </bottom>
      <diagonal/>
    </border>
    <border>
      <left/>
      <right style="thin">
        <color rgb="FF75004B"/>
      </right>
      <top style="thin">
        <color rgb="FF75004B"/>
      </top>
      <bottom style="thin">
        <color rgb="FF75004B"/>
      </bottom>
      <diagonal/>
    </border>
    <border>
      <left style="thin">
        <color rgb="FF75004B"/>
      </left>
      <right/>
      <top style="thin">
        <color rgb="FF75004B"/>
      </top>
      <bottom style="thin">
        <color rgb="FF75004B"/>
      </bottom>
      <diagonal/>
    </border>
    <border>
      <left/>
      <right style="thin">
        <color rgb="FF75004B"/>
      </right>
      <top/>
      <bottom style="thin">
        <color rgb="FF75004B"/>
      </bottom>
      <diagonal/>
    </border>
    <border>
      <left style="thin">
        <color rgb="FF75004B"/>
      </left>
      <right/>
      <top/>
      <bottom style="thin">
        <color rgb="FF75004B"/>
      </bottom>
      <diagonal/>
    </border>
    <border>
      <left/>
      <right/>
      <top style="thin">
        <color rgb="FF75004B"/>
      </top>
      <bottom/>
      <diagonal/>
    </border>
    <border>
      <left style="medium">
        <color rgb="FF75004B"/>
      </left>
      <right/>
      <top/>
      <bottom/>
      <diagonal/>
    </border>
    <border>
      <left style="thin">
        <color rgb="FF75004B"/>
      </left>
      <right style="thin">
        <color rgb="FF75004B"/>
      </right>
      <top style="thin">
        <color rgb="FF75004B"/>
      </top>
      <bottom/>
      <diagonal/>
    </border>
    <border>
      <left style="thin">
        <color rgb="FF75004B"/>
      </left>
      <right/>
      <top style="thin">
        <color rgb="FF75004B"/>
      </top>
      <bottom/>
      <diagonal/>
    </border>
    <border>
      <left/>
      <right/>
      <top style="medium">
        <color rgb="FF75004B"/>
      </top>
      <bottom/>
      <diagonal/>
    </border>
    <border>
      <left/>
      <right style="medium">
        <color rgb="FF75004B"/>
      </right>
      <top/>
      <bottom/>
      <diagonal/>
    </border>
    <border>
      <left/>
      <right style="thin">
        <color rgb="FF75004B"/>
      </right>
      <top style="thin">
        <color rgb="FF75004B"/>
      </top>
      <bottom/>
      <diagonal/>
    </border>
    <border>
      <left/>
      <right style="thin">
        <color rgb="FF75004B"/>
      </right>
      <top/>
      <bottom/>
      <diagonal/>
    </border>
    <border>
      <left/>
      <right/>
      <top style="thin">
        <color rgb="FF71004B"/>
      </top>
      <bottom style="thin">
        <color rgb="FF71004B"/>
      </bottom>
      <diagonal/>
    </border>
    <border>
      <left/>
      <right style="medium">
        <color rgb="FF75004B"/>
      </right>
      <top/>
      <bottom style="thin">
        <color rgb="FF75004B"/>
      </bottom>
      <diagonal/>
    </border>
    <border>
      <left style="medium">
        <color rgb="FF75004B"/>
      </left>
      <right/>
      <top/>
      <bottom style="thin">
        <color rgb="FF75004B"/>
      </bottom>
      <diagonal/>
    </border>
    <border>
      <left/>
      <right style="medium">
        <color rgb="FF75004B"/>
      </right>
      <top/>
      <bottom style="thin">
        <color rgb="FF71004B"/>
      </bottom>
      <diagonal/>
    </border>
    <border>
      <left style="medium">
        <color rgb="FF75004B"/>
      </left>
      <right style="thin">
        <color rgb="FF75004B"/>
      </right>
      <top style="thin">
        <color rgb="FF75004B"/>
      </top>
      <bottom style="thin">
        <color rgb="FF71004B"/>
      </bottom>
      <diagonal/>
    </border>
    <border>
      <left style="thin">
        <color rgb="FF75004B"/>
      </left>
      <right style="thin">
        <color rgb="FF75004B"/>
      </right>
      <top style="thin">
        <color rgb="FF75004B"/>
      </top>
      <bottom style="thin">
        <color rgb="FF71004B"/>
      </bottom>
      <diagonal/>
    </border>
    <border>
      <left style="thin">
        <color rgb="FF75004B"/>
      </left>
      <right style="medium">
        <color rgb="FF75004B"/>
      </right>
      <top style="thin">
        <color rgb="FF75004B"/>
      </top>
      <bottom style="thin">
        <color rgb="FF71004B"/>
      </bottom>
      <diagonal/>
    </border>
    <border>
      <left style="medium">
        <color rgb="FF75004B"/>
      </left>
      <right/>
      <top/>
      <bottom style="thin">
        <color rgb="FF71004B"/>
      </bottom>
      <diagonal/>
    </border>
    <border>
      <left/>
      <right/>
      <top/>
      <bottom style="thin">
        <color rgb="FF71004B"/>
      </bottom>
      <diagonal/>
    </border>
    <border>
      <left style="thin">
        <color rgb="FFD7D8D6"/>
      </left>
      <right style="thin">
        <color rgb="FFD7D8D6"/>
      </right>
      <top style="thin">
        <color rgb="FFD7D8D6"/>
      </top>
      <bottom style="thin">
        <color rgb="FFD7D8D6"/>
      </bottom>
      <diagonal/>
    </border>
    <border>
      <left/>
      <right style="medium">
        <color rgb="FF75004B"/>
      </right>
      <top style="thin">
        <color rgb="FFD7D8D6"/>
      </top>
      <bottom/>
      <diagonal/>
    </border>
    <border>
      <left/>
      <right style="medium">
        <color rgb="FF75004B"/>
      </right>
      <top style="thin">
        <color rgb="FFD7D8D6"/>
      </top>
      <bottom style="thin">
        <color rgb="FFD7D8D6"/>
      </bottom>
      <diagonal/>
    </border>
    <border>
      <left style="thin">
        <color rgb="FF75004B"/>
      </left>
      <right style="thin">
        <color rgb="FF75004B"/>
      </right>
      <top/>
      <bottom/>
      <diagonal/>
    </border>
    <border>
      <left style="medium">
        <color rgb="FF75004B"/>
      </left>
      <right style="thin">
        <color rgb="FFD7D8D6"/>
      </right>
      <top style="thin">
        <color rgb="FFD7D8D6"/>
      </top>
      <bottom style="thin">
        <color rgb="FFD7D8D6"/>
      </bottom>
      <diagonal/>
    </border>
    <border>
      <left style="thin">
        <color rgb="FFD7D8D6"/>
      </left>
      <right style="medium">
        <color rgb="FF75004B"/>
      </right>
      <top style="thin">
        <color rgb="FFD7D8D6"/>
      </top>
      <bottom style="thin">
        <color rgb="FFD7D8D6"/>
      </bottom>
      <diagonal/>
    </border>
    <border>
      <left style="thin">
        <color rgb="FFD7D8D6"/>
      </left>
      <right style="medium">
        <color rgb="FF75004B"/>
      </right>
      <top/>
      <bottom style="thin">
        <color rgb="FFD7D8D6"/>
      </bottom>
      <diagonal/>
    </border>
    <border>
      <left style="medium">
        <color rgb="FF75004B"/>
      </left>
      <right style="thin">
        <color rgb="FFD7D8D6"/>
      </right>
      <top/>
      <bottom style="thin">
        <color rgb="FFD7D8D6"/>
      </bottom>
      <diagonal/>
    </border>
    <border>
      <left style="thin">
        <color rgb="FF75004B"/>
      </left>
      <right/>
      <top/>
      <bottom/>
      <diagonal/>
    </border>
    <border>
      <left/>
      <right style="thin">
        <color rgb="FF75004B"/>
      </right>
      <top style="thin">
        <color rgb="FFD7D8D6"/>
      </top>
      <bottom style="thin">
        <color rgb="FFD7D8D6"/>
      </bottom>
      <diagonal/>
    </border>
    <border>
      <left style="thin">
        <color rgb="FF75004B"/>
      </left>
      <right style="thin">
        <color rgb="FF75004B"/>
      </right>
      <top style="thin">
        <color rgb="FFD7D8D6"/>
      </top>
      <bottom style="thin">
        <color rgb="FFD7D8D6"/>
      </bottom>
      <diagonal/>
    </border>
    <border>
      <left style="thin">
        <color rgb="FF75004B"/>
      </left>
      <right/>
      <top style="thin">
        <color rgb="FFD7D8D6"/>
      </top>
      <bottom style="thin">
        <color rgb="FFD7D8D6"/>
      </bottom>
      <diagonal/>
    </border>
    <border>
      <left style="thin">
        <color rgb="FF71004B"/>
      </left>
      <right/>
      <top/>
      <bottom/>
      <diagonal/>
    </border>
    <border>
      <left style="thin">
        <color rgb="FFD7D8D6"/>
      </left>
      <right/>
      <top style="thin">
        <color rgb="FFD7D8D6"/>
      </top>
      <bottom style="thin">
        <color rgb="FFD7D8D6"/>
      </bottom>
      <diagonal/>
    </border>
    <border>
      <left style="thin">
        <color rgb="FF71004B"/>
      </left>
      <right style="thin">
        <color rgb="FFD7D8D6"/>
      </right>
      <top style="thin">
        <color rgb="FFD7D8D6"/>
      </top>
      <bottom style="thin">
        <color rgb="FFD7D8D6"/>
      </bottom>
      <diagonal/>
    </border>
    <border>
      <left/>
      <right style="thin">
        <color rgb="FFD7D8D6"/>
      </right>
      <top style="thin">
        <color rgb="FFD7D8D6"/>
      </top>
      <bottom style="thin">
        <color rgb="FFD7D8D6"/>
      </bottom>
      <diagonal/>
    </border>
    <border>
      <left style="thin">
        <color rgb="FF71004B"/>
      </left>
      <right style="thin">
        <color rgb="FF71004B"/>
      </right>
      <top style="thin">
        <color rgb="FFD7D8D6"/>
      </top>
      <bottom style="thin">
        <color rgb="FFD7D8D6"/>
      </bottom>
      <diagonal/>
    </border>
    <border>
      <left/>
      <right style="thin">
        <color rgb="FF71004B"/>
      </right>
      <top/>
      <bottom/>
      <diagonal/>
    </border>
    <border>
      <left style="thin">
        <color rgb="FFD7D8D6"/>
      </left>
      <right style="thin">
        <color rgb="FF71004B"/>
      </right>
      <top style="thin">
        <color rgb="FFD7D8D6"/>
      </top>
      <bottom style="thin">
        <color rgb="FFD7D8D6"/>
      </bottom>
      <diagonal/>
    </border>
    <border>
      <left/>
      <right style="thin">
        <color rgb="FF71004B"/>
      </right>
      <top style="thin">
        <color rgb="FFD7D8D6"/>
      </top>
      <bottom style="thin">
        <color rgb="FFD7D8D6"/>
      </bottom>
      <diagonal/>
    </border>
    <border>
      <left/>
      <right style="thin">
        <color rgb="FF75004B"/>
      </right>
      <top style="thin">
        <color rgb="FFD7D8D6"/>
      </top>
      <bottom style="thin">
        <color rgb="FF75004B"/>
      </bottom>
      <diagonal/>
    </border>
    <border>
      <left style="thin">
        <color rgb="FF75004B"/>
      </left>
      <right style="thin">
        <color rgb="FF75004B"/>
      </right>
      <top style="thin">
        <color rgb="FFD7D8D6"/>
      </top>
      <bottom style="thin">
        <color rgb="FF75004B"/>
      </bottom>
      <diagonal/>
    </border>
    <border>
      <left style="thin">
        <color rgb="FF75004B"/>
      </left>
      <right/>
      <top style="thin">
        <color rgb="FFD7D8D6"/>
      </top>
      <bottom style="thin">
        <color rgb="FF75004B"/>
      </bottom>
      <diagonal/>
    </border>
    <border>
      <left style="thin">
        <color rgb="FF75004B"/>
      </left>
      <right style="thin">
        <color rgb="FF71004B"/>
      </right>
      <top style="thin">
        <color rgb="FF75004B"/>
      </top>
      <bottom/>
      <diagonal/>
    </border>
    <border>
      <left style="thin">
        <color rgb="FF75004B"/>
      </left>
      <right style="thin">
        <color rgb="FF71004B"/>
      </right>
      <top style="thin">
        <color rgb="FF75004B"/>
      </top>
      <bottom style="thin">
        <color rgb="FF75004B"/>
      </bottom>
      <diagonal/>
    </border>
    <border>
      <left style="thin">
        <color rgb="FF75004B"/>
      </left>
      <right style="thin">
        <color rgb="FF75004B"/>
      </right>
      <top/>
      <bottom style="thin">
        <color rgb="FF71004B"/>
      </bottom>
      <diagonal/>
    </border>
    <border>
      <left style="thin">
        <color rgb="FFD7D8D6"/>
      </left>
      <right style="medium">
        <color rgb="FF75004B"/>
      </right>
      <top/>
      <bottom/>
      <diagonal/>
    </border>
    <border>
      <left style="thin">
        <color rgb="FF71004B"/>
      </left>
      <right/>
      <top style="thin">
        <color rgb="FFD7D8D6"/>
      </top>
      <bottom style="thin">
        <color rgb="FFD7D8D6"/>
      </bottom>
      <diagonal/>
    </border>
    <border>
      <left/>
      <right/>
      <top style="thin">
        <color rgb="FFD7D8D6"/>
      </top>
      <bottom style="thin">
        <color rgb="FFD7D8D6"/>
      </bottom>
      <diagonal/>
    </border>
    <border>
      <left/>
      <right/>
      <top style="thin">
        <color rgb="FF71004B"/>
      </top>
      <bottom/>
      <diagonal/>
    </border>
    <border>
      <left style="thin">
        <color rgb="FF75004B"/>
      </left>
      <right/>
      <top/>
      <bottom style="thin">
        <color rgb="FF71004B"/>
      </bottom>
      <diagonal/>
    </border>
    <border>
      <left style="thin">
        <color rgb="FFD7D8D6"/>
      </left>
      <right style="thin">
        <color rgb="FFD7D8D6"/>
      </right>
      <top/>
      <bottom style="thin">
        <color rgb="FFD7D8D6"/>
      </bottom>
      <diagonal/>
    </border>
    <border>
      <left/>
      <right style="medium">
        <color rgb="FF75004B"/>
      </right>
      <top style="thin">
        <color rgb="FF75004B"/>
      </top>
      <bottom style="thin">
        <color rgb="FF75004B"/>
      </bottom>
      <diagonal/>
    </border>
    <border>
      <left style="medium">
        <color rgb="FF75004B"/>
      </left>
      <right/>
      <top style="thin">
        <color rgb="FF75004B"/>
      </top>
      <bottom style="thin">
        <color rgb="FF75004B"/>
      </bottom>
      <diagonal/>
    </border>
    <border>
      <left/>
      <right/>
      <top style="thin">
        <color rgb="FF75004B"/>
      </top>
      <bottom style="thin">
        <color rgb="FFD7D8D6"/>
      </bottom>
      <diagonal/>
    </border>
    <border>
      <left style="thin">
        <color rgb="FF71004B"/>
      </left>
      <right style="thin">
        <color rgb="FF71004B"/>
      </right>
      <top/>
      <bottom/>
      <diagonal/>
    </border>
    <border>
      <left style="thin">
        <color rgb="FF75004B"/>
      </left>
      <right style="medium">
        <color rgb="FF75004B"/>
      </right>
      <top style="thin">
        <color rgb="FF75004B"/>
      </top>
      <bottom/>
      <diagonal/>
    </border>
    <border>
      <left style="thin">
        <color rgb="FF71004B"/>
      </left>
      <right style="medium">
        <color rgb="FF75004B"/>
      </right>
      <top/>
      <bottom/>
      <diagonal/>
    </border>
    <border>
      <left style="medium">
        <color rgb="FF75004B"/>
      </left>
      <right/>
      <top style="thin">
        <color rgb="FF75004B"/>
      </top>
      <bottom/>
      <diagonal/>
    </border>
    <border>
      <left style="medium">
        <color rgb="FF75004B"/>
      </left>
      <right style="thin">
        <color rgb="FF71004B"/>
      </right>
      <top style="thin">
        <color rgb="FFD7D8D6"/>
      </top>
      <bottom style="thin">
        <color rgb="FFD7D8D6"/>
      </bottom>
      <diagonal/>
    </border>
    <border>
      <left style="thin">
        <color rgb="FF71004B"/>
      </left>
      <right style="medium">
        <color rgb="FF75004B"/>
      </right>
      <top style="thin">
        <color rgb="FFD7D8D6"/>
      </top>
      <bottom style="thin">
        <color rgb="FFD7D8D6"/>
      </bottom>
      <diagonal/>
    </border>
    <border>
      <left style="medium">
        <color rgb="FF75004B"/>
      </left>
      <right style="thin">
        <color rgb="FF71004B"/>
      </right>
      <top/>
      <bottom/>
      <diagonal/>
    </border>
    <border>
      <left/>
      <right style="thin">
        <color rgb="FF75004B"/>
      </right>
      <top style="thin">
        <color rgb="FFD7D8D6"/>
      </top>
      <bottom/>
      <diagonal/>
    </border>
    <border>
      <left style="thin">
        <color rgb="FF75004B"/>
      </left>
      <right style="thin">
        <color rgb="FF75004B"/>
      </right>
      <top style="thin">
        <color rgb="FFD7D8D6"/>
      </top>
      <bottom/>
      <diagonal/>
    </border>
    <border>
      <left style="thin">
        <color rgb="FF75004B"/>
      </left>
      <right/>
      <top style="thin">
        <color rgb="FFD7D8D6"/>
      </top>
      <bottom/>
      <diagonal/>
    </border>
    <border>
      <left/>
      <right style="thin">
        <color rgb="FF75004B"/>
      </right>
      <top style="thin">
        <color rgb="FF75004B"/>
      </top>
      <bottom style="thin">
        <color rgb="FFD7D8D6"/>
      </bottom>
      <diagonal/>
    </border>
    <border>
      <left style="thin">
        <color rgb="FF75004B"/>
      </left>
      <right style="thin">
        <color rgb="FF75004B"/>
      </right>
      <top style="thin">
        <color rgb="FF75004B"/>
      </top>
      <bottom style="thin">
        <color rgb="FFD7D8D6"/>
      </bottom>
      <diagonal/>
    </border>
    <border>
      <left style="thin">
        <color rgb="FF75004B"/>
      </left>
      <right/>
      <top style="thin">
        <color rgb="FF75004B"/>
      </top>
      <bottom style="thin">
        <color rgb="FFD7D8D6"/>
      </bottom>
      <diagonal/>
    </border>
    <border>
      <left style="thin">
        <color rgb="FF75004B"/>
      </left>
      <right style="thin">
        <color rgb="FF75004B"/>
      </right>
      <top/>
      <bottom style="thin">
        <color rgb="FFD7D8D6"/>
      </bottom>
      <diagonal/>
    </border>
    <border>
      <left style="thin">
        <color rgb="FF75004B"/>
      </left>
      <right/>
      <top/>
      <bottom style="thin">
        <color rgb="FFD7D8D6"/>
      </bottom>
      <diagonal/>
    </border>
    <border>
      <left/>
      <right style="thin">
        <color rgb="FF75004B"/>
      </right>
      <top/>
      <bottom style="thin">
        <color rgb="FFD7D8D6"/>
      </bottom>
      <diagonal/>
    </border>
    <border>
      <left style="thin">
        <color rgb="FFD7D8D6"/>
      </left>
      <right style="medium">
        <color rgb="FF71004B"/>
      </right>
      <top style="thin">
        <color rgb="FFD7D8D6"/>
      </top>
      <bottom style="thin">
        <color rgb="FFD7D8D6"/>
      </bottom>
      <diagonal/>
    </border>
    <border>
      <left style="thin">
        <color rgb="FF75004B"/>
      </left>
      <right/>
      <top/>
      <bottom style="thin">
        <color rgb="FF000000"/>
      </bottom>
      <diagonal/>
    </border>
    <border>
      <left/>
      <right style="thin">
        <color rgb="FF75004B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double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75004B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75004B"/>
      </right>
      <top style="thin">
        <color rgb="FF000000"/>
      </top>
      <bottom style="thin">
        <color rgb="FF000000"/>
      </bottom>
      <diagonal/>
    </border>
    <border>
      <left style="thin">
        <color rgb="FF71004B"/>
      </left>
      <right/>
      <top style="thin">
        <color rgb="FF000000"/>
      </top>
      <bottom/>
      <diagonal/>
    </border>
    <border>
      <left/>
      <right style="thin">
        <color rgb="FF71004B"/>
      </right>
      <top style="thin">
        <color rgb="FF000000"/>
      </top>
      <bottom/>
      <diagonal/>
    </border>
    <border>
      <left/>
      <right style="medium">
        <color rgb="FF75004B"/>
      </right>
      <top style="thin">
        <color rgb="FF71004B"/>
      </top>
      <bottom style="thin">
        <color rgb="FF71004B"/>
      </bottom>
      <diagonal/>
    </border>
    <border>
      <left style="medium">
        <color rgb="FF75004B"/>
      </left>
      <right/>
      <top style="thin">
        <color rgb="FF71004B"/>
      </top>
      <bottom style="thin">
        <color rgb="FF71004B"/>
      </bottom>
      <diagonal/>
    </border>
    <border>
      <left/>
      <right style="medium">
        <color rgb="FF75004B"/>
      </right>
      <top style="thin">
        <color rgb="FF71004B"/>
      </top>
      <bottom/>
      <diagonal/>
    </border>
    <border>
      <left style="medium">
        <color rgb="FF75004B"/>
      </left>
      <right style="thin">
        <color rgb="FF75004B"/>
      </right>
      <top/>
      <bottom style="thin">
        <color rgb="FF75004B"/>
      </bottom>
      <diagonal/>
    </border>
    <border>
      <left style="medium">
        <color rgb="FF75004B"/>
      </left>
      <right style="thin">
        <color rgb="FF75004B"/>
      </right>
      <top style="thin">
        <color rgb="FF71004B"/>
      </top>
      <bottom/>
      <diagonal/>
    </border>
    <border>
      <left style="thin">
        <color rgb="FF75004B"/>
      </left>
      <right style="thin">
        <color rgb="FF75004B"/>
      </right>
      <top style="thin">
        <color rgb="FF71004B"/>
      </top>
      <bottom/>
      <diagonal/>
    </border>
    <border>
      <left style="thin">
        <color rgb="FF75004B"/>
      </left>
      <right style="medium">
        <color rgb="FF75004B"/>
      </right>
      <top style="thin">
        <color rgb="FF71004B"/>
      </top>
      <bottom/>
      <diagonal/>
    </border>
    <border>
      <left style="thin">
        <color rgb="FF75004B"/>
      </left>
      <right/>
      <top style="thin">
        <color rgb="FF71004B"/>
      </top>
      <bottom/>
      <diagonal/>
    </border>
    <border>
      <left style="medium">
        <color rgb="FF75004B"/>
      </left>
      <right style="thin">
        <color rgb="FF75004B"/>
      </right>
      <top style="thin">
        <color rgb="FF75004B"/>
      </top>
      <bottom style="thin">
        <color rgb="FF75004B"/>
      </bottom>
      <diagonal/>
    </border>
    <border>
      <left style="thin">
        <color rgb="FF75004B"/>
      </left>
      <right style="medium">
        <color rgb="FF75004B"/>
      </right>
      <top/>
      <bottom style="thin">
        <color rgb="FF75004B"/>
      </bottom>
      <diagonal/>
    </border>
    <border>
      <left/>
      <right style="medium">
        <color rgb="FF75004B"/>
      </right>
      <top style="thin">
        <color rgb="FF75004B"/>
      </top>
      <bottom style="thin">
        <color rgb="FFD7D8D6"/>
      </bottom>
      <diagonal/>
    </border>
    <border>
      <left style="medium">
        <color rgb="FF75004B"/>
      </left>
      <right style="thin">
        <color rgb="FF75004B"/>
      </right>
      <top style="thin">
        <color rgb="FF75004B"/>
      </top>
      <bottom style="thin">
        <color rgb="FFD7D8D6"/>
      </bottom>
      <diagonal/>
    </border>
    <border>
      <left style="thin">
        <color rgb="FF75004B"/>
      </left>
      <right style="medium">
        <color rgb="FF75004B"/>
      </right>
      <top style="thin">
        <color rgb="FF75004B"/>
      </top>
      <bottom style="thin">
        <color rgb="FFD7D8D6"/>
      </bottom>
      <diagonal/>
    </border>
    <border>
      <left style="medium">
        <color rgb="FF75004B"/>
      </left>
      <right style="thin">
        <color rgb="FF75004B"/>
      </right>
      <top style="thin">
        <color rgb="FFD7D8D6"/>
      </top>
      <bottom style="thin">
        <color rgb="FFD7D8D6"/>
      </bottom>
      <diagonal/>
    </border>
    <border>
      <left style="thin">
        <color rgb="FF75004B"/>
      </left>
      <right style="medium">
        <color rgb="FF75004B"/>
      </right>
      <top style="thin">
        <color rgb="FFD7D8D6"/>
      </top>
      <bottom style="thin">
        <color rgb="FFD7D8D6"/>
      </bottom>
      <diagonal/>
    </border>
    <border>
      <left style="medium">
        <color rgb="FF75004B"/>
      </left>
      <right style="thin">
        <color rgb="FF75004B"/>
      </right>
      <top/>
      <bottom/>
      <diagonal/>
    </border>
    <border>
      <left style="medium">
        <color rgb="FF75004B"/>
      </left>
      <right/>
      <top style="thin">
        <color rgb="FFD7D8D6"/>
      </top>
      <bottom style="thin">
        <color rgb="FFD7D8D6"/>
      </bottom>
      <diagonal/>
    </border>
    <border>
      <left/>
      <right style="medium">
        <color rgb="FF71004B"/>
      </right>
      <top style="thin">
        <color rgb="FFD7D8D6"/>
      </top>
      <bottom style="thin">
        <color rgb="FF71004B"/>
      </bottom>
      <diagonal/>
    </border>
    <border>
      <left style="medium">
        <color rgb="FF71004B"/>
      </left>
      <right style="thin">
        <color rgb="FF75004B"/>
      </right>
      <top style="thin">
        <color rgb="FFD7D8D6"/>
      </top>
      <bottom style="thin">
        <color rgb="FF71004B"/>
      </bottom>
      <diagonal/>
    </border>
    <border>
      <left style="thin">
        <color rgb="FF75004B"/>
      </left>
      <right style="thin">
        <color rgb="FF75004B"/>
      </right>
      <top style="thin">
        <color rgb="FFD7D8D6"/>
      </top>
      <bottom style="thin">
        <color rgb="FF71004B"/>
      </bottom>
      <diagonal/>
    </border>
    <border>
      <left style="thin">
        <color rgb="FF75004B"/>
      </left>
      <right style="medium">
        <color rgb="FF75004B"/>
      </right>
      <top style="thin">
        <color rgb="FFD7D8D6"/>
      </top>
      <bottom style="thin">
        <color rgb="FF71004B"/>
      </bottom>
      <diagonal/>
    </border>
    <border>
      <left style="medium">
        <color rgb="FF75004B"/>
      </left>
      <right style="thin">
        <color rgb="FF75004B"/>
      </right>
      <top style="thin">
        <color rgb="FFD7D8D6"/>
      </top>
      <bottom style="thin">
        <color rgb="FF71004B"/>
      </bottom>
      <diagonal/>
    </border>
    <border>
      <left style="thin">
        <color rgb="FF75004B"/>
      </left>
      <right/>
      <top style="thin">
        <color rgb="FFD7D8D6"/>
      </top>
      <bottom style="thin">
        <color rgb="FF71004B"/>
      </bottom>
      <diagonal/>
    </border>
    <border>
      <left/>
      <right style="medium">
        <color rgb="FF71004B"/>
      </right>
      <top/>
      <bottom style="thin">
        <color rgb="FF71004B"/>
      </bottom>
      <diagonal/>
    </border>
    <border>
      <left/>
      <right/>
      <top/>
      <bottom style="thin">
        <color rgb="FFD7D8D6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5004B"/>
      </left>
      <right style="thin">
        <color rgb="FF75004B"/>
      </right>
      <top style="thin">
        <color rgb="FFD7D8D6"/>
      </top>
      <bottom style="thin">
        <color indexed="64"/>
      </bottom>
      <diagonal/>
    </border>
  </borders>
  <cellStyleXfs count="63">
    <xf numFmtId="0" fontId="0" fillId="0" borderId="0"/>
    <xf numFmtId="0" fontId="3" fillId="0" borderId="0"/>
    <xf numFmtId="168" fontId="17" fillId="0" borderId="0"/>
    <xf numFmtId="0" fontId="8" fillId="2" borderId="1" applyNumberFormat="0" applyAlignment="0" applyProtection="0"/>
    <xf numFmtId="0" fontId="24" fillId="0" borderId="0"/>
    <xf numFmtId="9" fontId="8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115" applyNumberFormat="0" applyFill="0" applyAlignment="0" applyProtection="0"/>
    <xf numFmtId="0" fontId="40" fillId="0" borderId="116" applyNumberFormat="0" applyFill="0" applyAlignment="0" applyProtection="0"/>
    <xf numFmtId="0" fontId="41" fillId="0" borderId="117" applyNumberFormat="0" applyFill="0" applyAlignment="0" applyProtection="0"/>
    <xf numFmtId="0" fontId="41" fillId="0" borderId="0" applyNumberFormat="0" applyFill="0" applyBorder="0" applyAlignment="0" applyProtection="0"/>
    <xf numFmtId="0" fontId="42" fillId="8" borderId="0" applyNumberFormat="0" applyBorder="0" applyAlignment="0" applyProtection="0"/>
    <xf numFmtId="0" fontId="43" fillId="9" borderId="0" applyNumberFormat="0" applyBorder="0" applyAlignment="0" applyProtection="0"/>
    <xf numFmtId="0" fontId="44" fillId="10" borderId="0" applyNumberFormat="0" applyBorder="0" applyAlignment="0" applyProtection="0"/>
    <xf numFmtId="0" fontId="45" fillId="11" borderId="118" applyNumberFormat="0" applyAlignment="0" applyProtection="0"/>
    <xf numFmtId="0" fontId="46" fillId="12" borderId="119" applyNumberFormat="0" applyAlignment="0" applyProtection="0"/>
    <xf numFmtId="0" fontId="47" fillId="12" borderId="118" applyNumberFormat="0" applyAlignment="0" applyProtection="0"/>
    <xf numFmtId="0" fontId="48" fillId="0" borderId="120" applyNumberFormat="0" applyFill="0" applyAlignment="0" applyProtection="0"/>
    <xf numFmtId="0" fontId="49" fillId="13" borderId="121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123" applyNumberFormat="0" applyFill="0" applyAlignment="0" applyProtection="0"/>
    <xf numFmtId="0" fontId="53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53" fillId="18" borderId="0" applyNumberFormat="0" applyBorder="0" applyAlignment="0" applyProtection="0"/>
    <xf numFmtId="0" fontId="53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53" fillId="22" borderId="0" applyNumberFormat="0" applyBorder="0" applyAlignment="0" applyProtection="0"/>
    <xf numFmtId="0" fontId="53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53" fillId="26" borderId="0" applyNumberFormat="0" applyBorder="0" applyAlignment="0" applyProtection="0"/>
    <xf numFmtId="0" fontId="53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53" fillId="30" borderId="0" applyNumberFormat="0" applyBorder="0" applyAlignment="0" applyProtection="0"/>
    <xf numFmtId="0" fontId="53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53" fillId="34" borderId="0" applyNumberFormat="0" applyBorder="0" applyAlignment="0" applyProtection="0"/>
    <xf numFmtId="0" fontId="53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53" fillId="38" borderId="0" applyNumberFormat="0" applyBorder="0" applyAlignment="0" applyProtection="0"/>
    <xf numFmtId="0" fontId="2" fillId="0" borderId="0"/>
    <xf numFmtId="0" fontId="54" fillId="0" borderId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34" borderId="0" applyNumberFormat="0" applyBorder="0" applyAlignment="0" applyProtection="0"/>
    <xf numFmtId="0" fontId="2" fillId="38" borderId="0" applyNumberFormat="0" applyBorder="0" applyAlignment="0" applyProtection="0"/>
    <xf numFmtId="0" fontId="56" fillId="10" borderId="0" applyNumberFormat="0" applyBorder="0" applyAlignment="0" applyProtection="0"/>
    <xf numFmtId="168" fontId="2" fillId="0" borderId="0"/>
    <xf numFmtId="0" fontId="8" fillId="0" borderId="0"/>
    <xf numFmtId="168" fontId="8" fillId="0" borderId="0"/>
    <xf numFmtId="0" fontId="2" fillId="0" borderId="0"/>
    <xf numFmtId="0" fontId="2" fillId="14" borderId="122" applyNumberFormat="0" applyFont="0" applyAlignment="0" applyProtection="0"/>
    <xf numFmtId="0" fontId="55" fillId="39" borderId="0" applyNumberFormat="0" applyBorder="0" applyAlignment="0" applyProtection="0"/>
    <xf numFmtId="0" fontId="57" fillId="0" borderId="0" applyNumberFormat="0" applyFill="0" applyBorder="0" applyAlignment="0" applyProtection="0"/>
    <xf numFmtId="0" fontId="1" fillId="0" borderId="0"/>
  </cellStyleXfs>
  <cellXfs count="506">
    <xf numFmtId="0" fontId="0" fillId="0" borderId="0" xfId="0"/>
    <xf numFmtId="0" fontId="5" fillId="0" borderId="0" xfId="0" applyFont="1"/>
    <xf numFmtId="0" fontId="5" fillId="0" borderId="0" xfId="0" applyFont="1" applyFill="1"/>
    <xf numFmtId="0" fontId="0" fillId="0" borderId="0" xfId="0" applyFont="1" applyFill="1"/>
    <xf numFmtId="0" fontId="5" fillId="0" borderId="0" xfId="0" applyFont="1" applyFill="1" applyBorder="1"/>
    <xf numFmtId="0" fontId="4" fillId="0" borderId="0" xfId="0" applyFont="1" applyFill="1"/>
    <xf numFmtId="0" fontId="5" fillId="0" borderId="0" xfId="0" applyFont="1" applyAlignment="1">
      <alignment horizontal="center"/>
    </xf>
    <xf numFmtId="0" fontId="11" fillId="0" borderId="0" xfId="0" applyFont="1" applyFill="1"/>
    <xf numFmtId="0" fontId="0" fillId="0" borderId="0" xfId="0" applyFill="1"/>
    <xf numFmtId="0" fontId="5" fillId="0" borderId="0" xfId="0" applyFont="1" applyFill="1" applyProtection="1"/>
    <xf numFmtId="164" fontId="5" fillId="0" borderId="0" xfId="0" applyNumberFormat="1" applyFont="1" applyFill="1" applyProtection="1"/>
    <xf numFmtId="2" fontId="5" fillId="0" borderId="0" xfId="0" applyNumberFormat="1" applyFont="1" applyFill="1" applyBorder="1" applyAlignment="1" applyProtection="1">
      <alignment horizontal="center"/>
    </xf>
    <xf numFmtId="164" fontId="4" fillId="0" borderId="0" xfId="0" applyNumberFormat="1" applyFont="1" applyFill="1" applyBorder="1" applyProtection="1"/>
    <xf numFmtId="2" fontId="5" fillId="0" borderId="0" xfId="0" applyNumberFormat="1" applyFont="1" applyFill="1" applyBorder="1" applyAlignment="1" applyProtection="1">
      <alignment horizontal="left"/>
    </xf>
    <xf numFmtId="0" fontId="6" fillId="0" borderId="0" xfId="0" applyFont="1" applyFill="1" applyAlignment="1">
      <alignment horizontal="center"/>
    </xf>
    <xf numFmtId="0" fontId="12" fillId="0" borderId="0" xfId="0" applyFont="1" applyFill="1"/>
    <xf numFmtId="0" fontId="0" fillId="0" borderId="0" xfId="0" applyFont="1" applyFill="1" applyProtection="1"/>
    <xf numFmtId="0" fontId="12" fillId="0" borderId="0" xfId="0" applyFont="1" applyFill="1" applyProtection="1"/>
    <xf numFmtId="0" fontId="4" fillId="0" borderId="0" xfId="0" applyFont="1" applyFill="1" applyBorder="1"/>
    <xf numFmtId="0" fontId="5" fillId="0" borderId="0" xfId="0" applyFont="1" applyFill="1" applyAlignment="1" applyProtection="1">
      <alignment vertical="center"/>
    </xf>
    <xf numFmtId="0" fontId="5" fillId="0" borderId="0" xfId="0" applyFont="1" applyFill="1" applyAlignment="1">
      <alignment vertical="center"/>
    </xf>
    <xf numFmtId="0" fontId="19" fillId="0" borderId="0" xfId="0" applyFont="1" applyFill="1" applyBorder="1" applyAlignment="1"/>
    <xf numFmtId="0" fontId="20" fillId="3" borderId="8" xfId="0" applyFont="1" applyFill="1" applyBorder="1" applyAlignment="1" applyProtection="1">
      <alignment vertical="center"/>
    </xf>
    <xf numFmtId="0" fontId="0" fillId="0" borderId="0" xfId="0" applyBorder="1"/>
    <xf numFmtId="0" fontId="18" fillId="3" borderId="10" xfId="0" applyFont="1" applyFill="1" applyBorder="1" applyAlignment="1" applyProtection="1">
      <alignment horizontal="left" vertical="center"/>
    </xf>
    <xf numFmtId="165" fontId="5" fillId="0" borderId="0" xfId="0" applyNumberFormat="1" applyFont="1" applyFill="1" applyBorder="1" applyAlignment="1" applyProtection="1"/>
    <xf numFmtId="167" fontId="5" fillId="0" borderId="0" xfId="0" applyNumberFormat="1" applyFont="1" applyFill="1" applyAlignment="1">
      <alignment horizontal="left"/>
    </xf>
    <xf numFmtId="2" fontId="20" fillId="3" borderId="7" xfId="0" applyNumberFormat="1" applyFont="1" applyFill="1" applyBorder="1" applyAlignment="1" applyProtection="1">
      <alignment horizontal="center" vertical="center"/>
    </xf>
    <xf numFmtId="2" fontId="20" fillId="3" borderId="9" xfId="0" applyNumberFormat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 wrapText="1"/>
    </xf>
    <xf numFmtId="0" fontId="20" fillId="0" borderId="8" xfId="0" applyFont="1" applyFill="1" applyBorder="1" applyAlignment="1" applyProtection="1">
      <alignment vertical="center" wrapText="1"/>
    </xf>
    <xf numFmtId="0" fontId="5" fillId="0" borderId="0" xfId="0" applyFont="1" applyAlignment="1">
      <alignment vertical="center" wrapText="1"/>
    </xf>
    <xf numFmtId="0" fontId="14" fillId="0" borderId="0" xfId="0" applyFont="1" applyFill="1" applyAlignment="1">
      <alignment vertical="top" wrapText="1"/>
    </xf>
    <xf numFmtId="0" fontId="14" fillId="0" borderId="0" xfId="0" applyFont="1" applyFill="1" applyAlignment="1" applyProtection="1">
      <alignment vertical="top" wrapText="1"/>
    </xf>
    <xf numFmtId="0" fontId="14" fillId="0" borderId="0" xfId="0" applyFont="1" applyFill="1" applyBorder="1" applyAlignment="1">
      <alignment vertical="top" wrapText="1"/>
    </xf>
    <xf numFmtId="0" fontId="14" fillId="0" borderId="2" xfId="0" applyFont="1" applyFill="1" applyBorder="1" applyAlignment="1">
      <alignment vertical="top" wrapText="1"/>
    </xf>
    <xf numFmtId="0" fontId="14" fillId="0" borderId="0" xfId="0" applyFont="1" applyFill="1" applyAlignment="1" applyProtection="1">
      <alignment vertical="top"/>
    </xf>
    <xf numFmtId="0" fontId="14" fillId="0" borderId="2" xfId="0" applyFont="1" applyFill="1" applyBorder="1" applyAlignment="1" applyProtection="1">
      <alignment vertical="top"/>
    </xf>
    <xf numFmtId="0" fontId="7" fillId="0" borderId="0" xfId="0" applyFont="1" applyFill="1" applyAlignment="1" applyProtection="1">
      <alignment vertical="center" wrapText="1"/>
    </xf>
    <xf numFmtId="0" fontId="5" fillId="0" borderId="0" xfId="0" applyFont="1" applyFill="1" applyAlignment="1">
      <alignment vertical="center" wrapText="1"/>
    </xf>
    <xf numFmtId="0" fontId="0" fillId="0" borderId="0" xfId="0" applyFill="1" applyAlignment="1">
      <alignment vertical="center" wrapText="1"/>
    </xf>
    <xf numFmtId="0" fontId="4" fillId="0" borderId="0" xfId="0" applyFont="1" applyFill="1" applyAlignment="1">
      <alignment horizontal="right" vertical="center" wrapText="1"/>
    </xf>
    <xf numFmtId="2" fontId="4" fillId="0" borderId="0" xfId="0" applyNumberFormat="1" applyFont="1" applyFill="1" applyBorder="1" applyAlignment="1" applyProtection="1">
      <alignment horizontal="right" vertical="center" wrapText="1"/>
    </xf>
    <xf numFmtId="164" fontId="18" fillId="3" borderId="5" xfId="0" applyNumberFormat="1" applyFont="1" applyFill="1" applyBorder="1" applyAlignment="1">
      <alignment horizontal="center" vertical="center" wrapText="1"/>
    </xf>
    <xf numFmtId="164" fontId="18" fillId="3" borderId="11" xfId="0" applyNumberFormat="1" applyFont="1" applyFill="1" applyBorder="1" applyAlignment="1">
      <alignment horizontal="center" vertical="center" wrapText="1"/>
    </xf>
    <xf numFmtId="167" fontId="16" fillId="0" borderId="14" xfId="0" applyNumberFormat="1" applyFont="1" applyBorder="1" applyAlignment="1" applyProtection="1">
      <alignment horizontal="center" vertical="center" wrapText="1"/>
      <protection locked="0"/>
    </xf>
    <xf numFmtId="167" fontId="16" fillId="0" borderId="15" xfId="0" applyNumberFormat="1" applyFont="1" applyBorder="1" applyAlignment="1" applyProtection="1">
      <alignment horizontal="center" vertical="center" wrapText="1"/>
      <protection locked="0"/>
    </xf>
    <xf numFmtId="167" fontId="16" fillId="0" borderId="0" xfId="0" applyNumberFormat="1" applyFont="1" applyFill="1" applyBorder="1" applyAlignment="1" applyProtection="1">
      <alignment horizontal="center"/>
      <protection locked="0"/>
    </xf>
    <xf numFmtId="0" fontId="18" fillId="3" borderId="5" xfId="0" applyFont="1" applyFill="1" applyBorder="1" applyAlignment="1" applyProtection="1">
      <alignment horizontal="center" vertical="center" wrapText="1"/>
      <protection locked="0"/>
    </xf>
    <xf numFmtId="0" fontId="18" fillId="3" borderId="11" xfId="0" applyFont="1" applyFill="1" applyBorder="1" applyAlignment="1" applyProtection="1">
      <alignment horizontal="center" vertical="center" wrapText="1"/>
      <protection locked="0"/>
    </xf>
    <xf numFmtId="0" fontId="20" fillId="3" borderId="6" xfId="0" applyFont="1" applyFill="1" applyBorder="1" applyAlignment="1" applyProtection="1">
      <alignment vertical="center" wrapText="1"/>
    </xf>
    <xf numFmtId="164" fontId="18" fillId="3" borderId="20" xfId="0" applyNumberFormat="1" applyFont="1" applyFill="1" applyBorder="1" applyAlignment="1">
      <alignment vertical="center" wrapText="1"/>
    </xf>
    <xf numFmtId="164" fontId="18" fillId="3" borderId="10" xfId="0" applyNumberFormat="1" applyFont="1" applyFill="1" applyBorder="1" applyAlignment="1">
      <alignment horizontal="left" vertical="center" wrapText="1"/>
    </xf>
    <xf numFmtId="0" fontId="16" fillId="0" borderId="18" xfId="0" applyFont="1" applyBorder="1" applyAlignment="1">
      <alignment horizontal="left" vertical="center" wrapText="1"/>
    </xf>
    <xf numFmtId="164" fontId="18" fillId="3" borderId="20" xfId="0" applyNumberFormat="1" applyFont="1" applyFill="1" applyBorder="1" applyAlignment="1">
      <alignment horizontal="left" vertical="center" wrapText="1"/>
    </xf>
    <xf numFmtId="2" fontId="5" fillId="0" borderId="0" xfId="0" applyNumberFormat="1" applyFont="1" applyFill="1" applyBorder="1" applyAlignment="1" applyProtection="1">
      <alignment horizontal="center"/>
    </xf>
    <xf numFmtId="49" fontId="5" fillId="0" borderId="0" xfId="0" applyNumberFormat="1" applyFont="1" applyAlignment="1">
      <alignment vertical="center" wrapText="1"/>
    </xf>
    <xf numFmtId="1" fontId="5" fillId="0" borderId="0" xfId="0" applyNumberFormat="1" applyFont="1" applyAlignment="1" applyProtection="1">
      <alignment vertical="center" wrapText="1"/>
    </xf>
    <xf numFmtId="49" fontId="16" fillId="0" borderId="7" xfId="0" applyNumberFormat="1" applyFont="1" applyFill="1" applyBorder="1" applyAlignment="1" applyProtection="1">
      <alignment horizontal="center" vertical="center" wrapText="1"/>
      <protection locked="0"/>
    </xf>
    <xf numFmtId="49" fontId="16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16" fillId="0" borderId="9" xfId="0" applyNumberFormat="1" applyFont="1" applyBorder="1" applyAlignment="1" applyProtection="1">
      <alignment horizontal="center" vertical="center" wrapText="1"/>
      <protection locked="0"/>
    </xf>
    <xf numFmtId="49" fontId="20" fillId="3" borderId="7" xfId="0" applyNumberFormat="1" applyFont="1" applyFill="1" applyBorder="1" applyAlignment="1" applyProtection="1">
      <alignment horizontal="center" vertical="center"/>
    </xf>
    <xf numFmtId="49" fontId="20" fillId="3" borderId="9" xfId="0" applyNumberFormat="1" applyFont="1" applyFill="1" applyBorder="1" applyAlignment="1" applyProtection="1">
      <alignment horizontal="center" vertical="center"/>
    </xf>
    <xf numFmtId="49" fontId="20" fillId="3" borderId="6" xfId="0" applyNumberFormat="1" applyFont="1" applyFill="1" applyBorder="1" applyAlignment="1" applyProtection="1">
      <alignment vertical="center" wrapText="1"/>
    </xf>
    <xf numFmtId="0" fontId="15" fillId="0" borderId="7" xfId="0" applyFont="1" applyBorder="1" applyAlignment="1" applyProtection="1">
      <alignment horizontal="center" vertical="center" wrapText="1"/>
    </xf>
    <xf numFmtId="0" fontId="5" fillId="0" borderId="0" xfId="0" applyFont="1" applyBorder="1"/>
    <xf numFmtId="0" fontId="18" fillId="3" borderId="24" xfId="0" applyFont="1" applyFill="1" applyBorder="1" applyAlignment="1" applyProtection="1">
      <alignment horizontal="center" vertical="center" wrapText="1"/>
    </xf>
    <xf numFmtId="0" fontId="18" fillId="3" borderId="25" xfId="0" applyFont="1" applyFill="1" applyBorder="1" applyAlignment="1" applyProtection="1">
      <alignment horizontal="center" vertical="center" wrapText="1"/>
    </xf>
    <xf numFmtId="0" fontId="18" fillId="3" borderId="26" xfId="0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left" vertical="center" wrapText="1"/>
      <protection locked="0"/>
    </xf>
    <xf numFmtId="0" fontId="16" fillId="0" borderId="31" xfId="0" applyFont="1" applyFill="1" applyBorder="1" applyAlignment="1" applyProtection="1">
      <alignment horizontal="left" vertical="center" wrapText="1"/>
      <protection locked="0"/>
    </xf>
    <xf numFmtId="164" fontId="16" fillId="0" borderId="29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33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33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36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39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40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45" xfId="0" applyNumberFormat="1" applyFont="1" applyBorder="1" applyAlignment="1" applyProtection="1">
      <alignment horizontal="center" vertical="center" wrapText="1"/>
      <protection locked="0"/>
    </xf>
    <xf numFmtId="0" fontId="16" fillId="0" borderId="38" xfId="0" applyFont="1" applyBorder="1" applyAlignment="1">
      <alignment horizontal="left" vertical="center" wrapText="1"/>
    </xf>
    <xf numFmtId="167" fontId="16" fillId="0" borderId="39" xfId="0" applyNumberFormat="1" applyFont="1" applyBorder="1" applyAlignment="1" applyProtection="1">
      <alignment horizontal="center" vertical="center" wrapText="1"/>
      <protection locked="0"/>
    </xf>
    <xf numFmtId="167" fontId="16" fillId="0" borderId="40" xfId="0" applyNumberFormat="1" applyFont="1" applyBorder="1" applyAlignment="1" applyProtection="1">
      <alignment horizontal="center" vertical="center" wrapText="1"/>
      <protection locked="0"/>
    </xf>
    <xf numFmtId="0" fontId="16" fillId="0" borderId="19" xfId="0" applyFont="1" applyBorder="1" applyAlignment="1">
      <alignment horizontal="left" vertical="center" wrapText="1"/>
    </xf>
    <xf numFmtId="167" fontId="16" fillId="0" borderId="32" xfId="0" applyNumberFormat="1" applyFont="1" applyBorder="1" applyAlignment="1" applyProtection="1">
      <alignment horizontal="center" vertical="center" wrapText="1"/>
      <protection locked="0"/>
    </xf>
    <xf numFmtId="167" fontId="16" fillId="0" borderId="37" xfId="0" applyNumberFormat="1" applyFont="1" applyBorder="1" applyAlignment="1" applyProtection="1">
      <alignment horizontal="center" vertical="center" wrapText="1"/>
      <protection locked="0"/>
    </xf>
    <xf numFmtId="0" fontId="14" fillId="0" borderId="19" xfId="0" applyFont="1" applyFill="1" applyBorder="1" applyAlignment="1">
      <alignment horizontal="left" vertical="center" wrapText="1"/>
    </xf>
    <xf numFmtId="0" fontId="14" fillId="0" borderId="38" xfId="0" applyFont="1" applyFill="1" applyBorder="1" applyAlignment="1">
      <alignment horizontal="left" vertical="center" wrapText="1"/>
    </xf>
    <xf numFmtId="9" fontId="0" fillId="0" borderId="0" xfId="0" applyNumberFormat="1" applyBorder="1"/>
    <xf numFmtId="0" fontId="18" fillId="0" borderId="18" xfId="0" applyFont="1" applyFill="1" applyBorder="1" applyAlignment="1" applyProtection="1">
      <alignment vertical="center" wrapText="1"/>
    </xf>
    <xf numFmtId="0" fontId="15" fillId="0" borderId="49" xfId="0" applyFont="1" applyFill="1" applyBorder="1" applyAlignment="1" applyProtection="1">
      <alignment vertical="center" wrapText="1"/>
    </xf>
    <xf numFmtId="0" fontId="15" fillId="0" borderId="38" xfId="0" applyFont="1" applyFill="1" applyBorder="1" applyAlignment="1" applyProtection="1">
      <alignment vertical="center" wrapText="1"/>
    </xf>
    <xf numFmtId="0" fontId="15" fillId="0" borderId="19" xfId="0" applyFont="1" applyFill="1" applyBorder="1" applyAlignment="1" applyProtection="1">
      <alignment vertical="center" wrapText="1"/>
    </xf>
    <xf numFmtId="2" fontId="16" fillId="0" borderId="32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37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38" xfId="0" applyFont="1" applyFill="1" applyBorder="1" applyAlignment="1" applyProtection="1">
      <alignment vertical="top" wrapText="1"/>
    </xf>
    <xf numFmtId="2" fontId="16" fillId="0" borderId="32" xfId="0" applyNumberFormat="1" applyFont="1" applyFill="1" applyBorder="1" applyAlignment="1" applyProtection="1">
      <alignment horizontal="center" vertical="center" wrapText="1"/>
    </xf>
    <xf numFmtId="2" fontId="16" fillId="0" borderId="37" xfId="0" applyNumberFormat="1" applyFont="1" applyFill="1" applyBorder="1" applyAlignment="1" applyProtection="1">
      <alignment horizontal="center" vertical="center" wrapText="1"/>
    </xf>
    <xf numFmtId="2" fontId="16" fillId="0" borderId="32" xfId="0" quotePrefix="1" applyNumberFormat="1" applyFont="1" applyFill="1" applyBorder="1" applyAlignment="1" applyProtection="1">
      <alignment horizontal="center" vertical="center" wrapText="1"/>
    </xf>
    <xf numFmtId="2" fontId="16" fillId="0" borderId="37" xfId="0" quotePrefix="1" applyNumberFormat="1" applyFont="1" applyFill="1" applyBorder="1" applyAlignment="1" applyProtection="1">
      <alignment horizontal="center" vertical="center" wrapText="1"/>
    </xf>
    <xf numFmtId="2" fontId="16" fillId="0" borderId="39" xfId="0" applyNumberFormat="1" applyFont="1" applyFill="1" applyBorder="1" applyAlignment="1" applyProtection="1">
      <alignment horizontal="center" vertical="center" wrapText="1"/>
    </xf>
    <xf numFmtId="2" fontId="16" fillId="0" borderId="40" xfId="0" applyNumberFormat="1" applyFont="1" applyFill="1" applyBorder="1" applyAlignment="1" applyProtection="1">
      <alignment horizontal="center" vertical="center" wrapText="1"/>
    </xf>
    <xf numFmtId="49" fontId="16" fillId="0" borderId="32" xfId="0" applyNumberFormat="1" applyFont="1" applyFill="1" applyBorder="1" applyAlignment="1" applyProtection="1">
      <alignment horizontal="center" vertical="center" wrapText="1"/>
      <protection locked="0"/>
    </xf>
    <xf numFmtId="49" fontId="16" fillId="0" borderId="37" xfId="0" applyNumberFormat="1" applyFont="1" applyFill="1" applyBorder="1" applyAlignment="1" applyProtection="1">
      <alignment horizontal="center" vertical="center" wrapText="1"/>
      <protection locked="0"/>
    </xf>
    <xf numFmtId="49" fontId="15" fillId="0" borderId="38" xfId="0" applyNumberFormat="1" applyFont="1" applyFill="1" applyBorder="1" applyAlignment="1" applyProtection="1">
      <alignment vertical="center" wrapText="1"/>
    </xf>
    <xf numFmtId="49" fontId="16" fillId="0" borderId="39" xfId="0" quotePrefix="1" applyNumberFormat="1" applyFont="1" applyFill="1" applyBorder="1" applyAlignment="1" applyProtection="1">
      <alignment horizontal="center" vertical="center" wrapText="1"/>
      <protection locked="0"/>
    </xf>
    <xf numFmtId="49" fontId="16" fillId="0" borderId="40" xfId="0" quotePrefix="1" applyNumberFormat="1" applyFont="1" applyFill="1" applyBorder="1" applyAlignment="1" applyProtection="1">
      <alignment horizontal="center" vertical="center" wrapText="1"/>
      <protection locked="0"/>
    </xf>
    <xf numFmtId="1" fontId="15" fillId="0" borderId="19" xfId="0" applyNumberFormat="1" applyFont="1" applyFill="1" applyBorder="1" applyAlignment="1" applyProtection="1">
      <alignment vertical="center" wrapText="1"/>
    </xf>
    <xf numFmtId="49" fontId="16" fillId="0" borderId="50" xfId="0" applyNumberFormat="1" applyFont="1" applyFill="1" applyBorder="1" applyAlignment="1" applyProtection="1">
      <alignment horizontal="center" vertical="center" wrapText="1"/>
      <protection locked="0"/>
    </xf>
    <xf numFmtId="49" fontId="16" fillId="0" borderId="51" xfId="0" applyNumberFormat="1" applyFont="1" applyFill="1" applyBorder="1" applyAlignment="1" applyProtection="1">
      <alignment horizontal="center" vertical="center" wrapText="1"/>
      <protection locked="0"/>
    </xf>
    <xf numFmtId="0" fontId="18" fillId="3" borderId="14" xfId="0" applyFont="1" applyFill="1" applyBorder="1" applyAlignment="1">
      <alignment horizontal="center"/>
    </xf>
    <xf numFmtId="0" fontId="18" fillId="3" borderId="52" xfId="0" applyFont="1" applyFill="1" applyBorder="1" applyAlignment="1">
      <alignment horizontal="center"/>
    </xf>
    <xf numFmtId="0" fontId="0" fillId="0" borderId="53" xfId="0" applyBorder="1" applyAlignment="1">
      <alignment horizontal="center"/>
    </xf>
    <xf numFmtId="167" fontId="16" fillId="0" borderId="32" xfId="0" applyNumberFormat="1" applyFont="1" applyBorder="1" applyAlignment="1">
      <alignment horizontal="center" vertical="center" wrapText="1"/>
    </xf>
    <xf numFmtId="167" fontId="16" fillId="0" borderId="37" xfId="0" applyNumberFormat="1" applyFont="1" applyBorder="1" applyAlignment="1">
      <alignment horizontal="center" vertical="center" wrapText="1"/>
    </xf>
    <xf numFmtId="0" fontId="16" fillId="0" borderId="39" xfId="0" quotePrefix="1" applyFont="1" applyBorder="1" applyAlignment="1">
      <alignment horizontal="center" vertical="center" wrapText="1"/>
    </xf>
    <xf numFmtId="9" fontId="16" fillId="0" borderId="39" xfId="0" applyNumberFormat="1" applyFont="1" applyBorder="1" applyAlignment="1">
      <alignment horizontal="center" vertical="center" wrapText="1"/>
    </xf>
    <xf numFmtId="9" fontId="16" fillId="0" borderId="40" xfId="0" applyNumberFormat="1" applyFont="1" applyBorder="1" applyAlignment="1">
      <alignment horizontal="center" vertical="center" wrapText="1"/>
    </xf>
    <xf numFmtId="0" fontId="26" fillId="0" borderId="14" xfId="0" applyFont="1" applyFill="1" applyBorder="1" applyAlignment="1" applyProtection="1">
      <alignment horizontal="center" vertical="center" wrapText="1"/>
      <protection locked="0"/>
    </xf>
    <xf numFmtId="0" fontId="26" fillId="0" borderId="15" xfId="0" applyFont="1" applyFill="1" applyBorder="1" applyAlignment="1" applyProtection="1">
      <alignment horizontal="center" vertical="center" wrapText="1"/>
      <protection locked="0"/>
    </xf>
    <xf numFmtId="0" fontId="14" fillId="0" borderId="12" xfId="0" applyFont="1" applyFill="1" applyBorder="1" applyAlignment="1" applyProtection="1">
      <alignment vertical="top"/>
    </xf>
    <xf numFmtId="0" fontId="22" fillId="0" borderId="0" xfId="0" applyFont="1" applyFill="1" applyAlignment="1" applyProtection="1">
      <alignment vertical="center"/>
    </xf>
    <xf numFmtId="0" fontId="12" fillId="0" borderId="0" xfId="0" applyFont="1" applyFill="1" applyBorder="1"/>
    <xf numFmtId="0" fontId="0" fillId="0" borderId="0" xfId="0" applyFill="1" applyBorder="1"/>
    <xf numFmtId="0" fontId="16" fillId="0" borderId="39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40" xfId="0" applyNumberFormat="1" applyFont="1" applyFill="1" applyBorder="1" applyAlignment="1" applyProtection="1">
      <alignment horizontal="center" vertical="center" wrapText="1"/>
      <protection locked="0"/>
    </xf>
    <xf numFmtId="1" fontId="16" fillId="0" borderId="32" xfId="0" applyNumberFormat="1" applyFont="1" applyFill="1" applyBorder="1" applyAlignment="1" applyProtection="1">
      <alignment horizontal="center" vertical="center" wrapText="1"/>
      <protection locked="0"/>
    </xf>
    <xf numFmtId="1" fontId="16" fillId="0" borderId="37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Alignment="1">
      <alignment horizontal="left" vertical="center" indent="1"/>
    </xf>
    <xf numFmtId="0" fontId="0" fillId="5" borderId="0" xfId="0" applyFill="1"/>
    <xf numFmtId="164" fontId="16" fillId="0" borderId="13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48" xfId="0" applyNumberFormat="1" applyFont="1" applyBorder="1" applyAlignment="1" applyProtection="1">
      <alignment horizontal="center" vertical="center" wrapText="1"/>
      <protection locked="0"/>
    </xf>
    <xf numFmtId="0" fontId="18" fillId="3" borderId="18" xfId="0" applyFont="1" applyFill="1" applyBorder="1" applyAlignment="1">
      <alignment horizontal="center"/>
    </xf>
    <xf numFmtId="167" fontId="16" fillId="0" borderId="54" xfId="0" applyNumberFormat="1" applyFont="1" applyBorder="1" applyAlignment="1" applyProtection="1">
      <alignment horizontal="center" vertical="center" wrapText="1"/>
      <protection locked="0"/>
    </xf>
    <xf numFmtId="0" fontId="18" fillId="3" borderId="0" xfId="0" applyFont="1" applyFill="1" applyBorder="1" applyAlignment="1"/>
    <xf numFmtId="164" fontId="0" fillId="0" borderId="0" xfId="0" applyNumberFormat="1"/>
    <xf numFmtId="171" fontId="16" fillId="0" borderId="45" xfId="5" applyNumberFormat="1" applyFont="1" applyBorder="1" applyAlignment="1" applyProtection="1">
      <alignment horizontal="center" vertical="center" wrapText="1"/>
      <protection locked="0"/>
    </xf>
    <xf numFmtId="171" fontId="16" fillId="0" borderId="48" xfId="5" applyNumberFormat="1" applyFont="1" applyBorder="1" applyAlignment="1" applyProtection="1">
      <alignment horizontal="center" vertical="center" wrapText="1"/>
      <protection locked="0"/>
    </xf>
    <xf numFmtId="164" fontId="18" fillId="3" borderId="58" xfId="0" applyNumberFormat="1" applyFont="1" applyFill="1" applyBorder="1" applyAlignment="1">
      <alignment vertical="center" wrapText="1"/>
    </xf>
    <xf numFmtId="167" fontId="16" fillId="0" borderId="15" xfId="0" applyNumberFormat="1" applyFont="1" applyBorder="1" applyAlignment="1">
      <alignment horizontal="center" vertical="center" wrapText="1"/>
    </xf>
    <xf numFmtId="167" fontId="16" fillId="0" borderId="59" xfId="0" applyNumberFormat="1" applyFont="1" applyBorder="1" applyAlignment="1" applyProtection="1">
      <alignment horizontal="center" vertical="center" wrapText="1"/>
      <protection locked="0"/>
    </xf>
    <xf numFmtId="164" fontId="16" fillId="0" borderId="60" xfId="0" applyNumberFormat="1" applyFont="1" applyBorder="1" applyAlignment="1" applyProtection="1">
      <alignment horizontal="center" vertical="center" wrapText="1"/>
      <protection locked="0"/>
    </xf>
    <xf numFmtId="164" fontId="16" fillId="0" borderId="34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55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35" xfId="0" applyNumberFormat="1" applyFont="1" applyFill="1" applyBorder="1" applyAlignment="1" applyProtection="1">
      <alignment horizontal="center" vertical="center" wrapText="1"/>
      <protection locked="0"/>
    </xf>
    <xf numFmtId="0" fontId="18" fillId="3" borderId="18" xfId="0" applyFont="1" applyFill="1" applyBorder="1" applyAlignment="1">
      <alignment horizontal="center"/>
    </xf>
    <xf numFmtId="0" fontId="32" fillId="3" borderId="63" xfId="0" applyFont="1" applyFill="1" applyBorder="1" applyAlignment="1">
      <alignment horizontal="center"/>
    </xf>
    <xf numFmtId="0" fontId="32" fillId="3" borderId="12" xfId="0" applyFont="1" applyFill="1" applyBorder="1" applyAlignment="1">
      <alignment horizontal="center"/>
    </xf>
    <xf numFmtId="0" fontId="32" fillId="3" borderId="15" xfId="0" applyFont="1" applyFill="1" applyBorder="1" applyAlignment="1">
      <alignment horizontal="center"/>
    </xf>
    <xf numFmtId="164" fontId="16" fillId="0" borderId="44" xfId="0" applyNumberFormat="1" applyFont="1" applyBorder="1" applyAlignment="1" applyProtection="1">
      <alignment horizontal="center" vertical="center" wrapText="1"/>
      <protection locked="0"/>
    </xf>
    <xf numFmtId="164" fontId="16" fillId="0" borderId="57" xfId="0" applyNumberFormat="1" applyFont="1" applyBorder="1" applyAlignment="1" applyProtection="1">
      <alignment horizontal="center" vertical="center" wrapText="1"/>
      <protection locked="0"/>
    </xf>
    <xf numFmtId="0" fontId="0" fillId="0" borderId="0" xfId="0" quotePrefix="1" applyAlignment="1">
      <alignment horizontal="right"/>
    </xf>
    <xf numFmtId="0" fontId="32" fillId="3" borderId="65" xfId="0" applyFont="1" applyFill="1" applyBorder="1" applyAlignment="1">
      <alignment horizontal="center"/>
    </xf>
    <xf numFmtId="0" fontId="32" fillId="3" borderId="67" xfId="0" applyFont="1" applyFill="1" applyBorder="1" applyAlignment="1">
      <alignment horizontal="center"/>
    </xf>
    <xf numFmtId="164" fontId="16" fillId="0" borderId="68" xfId="0" applyNumberFormat="1" applyFont="1" applyBorder="1" applyAlignment="1" applyProtection="1">
      <alignment horizontal="center" vertical="center" wrapText="1"/>
      <protection locked="0"/>
    </xf>
    <xf numFmtId="164" fontId="16" fillId="0" borderId="69" xfId="0" applyNumberFormat="1" applyFont="1" applyBorder="1" applyAlignment="1" applyProtection="1">
      <alignment horizontal="center" vertical="center" wrapText="1"/>
      <protection locked="0"/>
    </xf>
    <xf numFmtId="0" fontId="0" fillId="0" borderId="66" xfId="0" applyBorder="1" applyProtection="1">
      <protection locked="0"/>
    </xf>
    <xf numFmtId="0" fontId="0" fillId="0" borderId="64" xfId="0" applyBorder="1" applyProtection="1">
      <protection locked="0"/>
    </xf>
    <xf numFmtId="0" fontId="0" fillId="0" borderId="70" xfId="0" applyBorder="1" applyProtection="1">
      <protection locked="0"/>
    </xf>
    <xf numFmtId="0" fontId="0" fillId="0" borderId="0" xfId="0" applyBorder="1" applyProtection="1">
      <protection locked="0"/>
    </xf>
    <xf numFmtId="164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19" fillId="5" borderId="0" xfId="0" applyFont="1" applyFill="1" applyBorder="1" applyAlignment="1"/>
    <xf numFmtId="0" fontId="12" fillId="5" borderId="0" xfId="0" applyFont="1" applyFill="1"/>
    <xf numFmtId="0" fontId="0" fillId="5" borderId="0" xfId="0" applyFill="1" applyBorder="1"/>
    <xf numFmtId="0" fontId="19" fillId="0" borderId="0" xfId="0" applyFont="1" applyFill="1" applyBorder="1" applyAlignment="1">
      <alignment horizontal="left"/>
    </xf>
    <xf numFmtId="0" fontId="18" fillId="3" borderId="18" xfId="0" applyFont="1" applyFill="1" applyBorder="1" applyAlignment="1">
      <alignment horizontal="center"/>
    </xf>
    <xf numFmtId="172" fontId="19" fillId="0" borderId="0" xfId="0" applyNumberFormat="1" applyFont="1" applyFill="1" applyBorder="1" applyAlignment="1" applyProtection="1">
      <protection locked="0"/>
    </xf>
    <xf numFmtId="0" fontId="19" fillId="0" borderId="0" xfId="0" applyFont="1" applyFill="1" applyBorder="1" applyAlignment="1" applyProtection="1">
      <protection locked="0"/>
    </xf>
    <xf numFmtId="0" fontId="19" fillId="0" borderId="0" xfId="0" applyFont="1" applyFill="1" applyBorder="1" applyAlignment="1" applyProtection="1"/>
    <xf numFmtId="0" fontId="19" fillId="0" borderId="0" xfId="0" applyFont="1" applyFill="1" applyBorder="1" applyAlignment="1" applyProtection="1">
      <alignment vertical="top" wrapText="1"/>
      <protection locked="0"/>
    </xf>
    <xf numFmtId="172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5" fillId="0" borderId="0" xfId="0" applyFont="1" applyFill="1" applyAlignment="1" applyProtection="1">
      <alignment vertical="top" wrapText="1"/>
      <protection locked="0"/>
    </xf>
    <xf numFmtId="0" fontId="18" fillId="3" borderId="5" xfId="0" applyFont="1" applyFill="1" applyBorder="1" applyAlignment="1" applyProtection="1">
      <alignment wrapText="1"/>
    </xf>
    <xf numFmtId="0" fontId="18" fillId="3" borderId="7" xfId="0" applyFont="1" applyFill="1" applyBorder="1" applyAlignment="1" applyProtection="1">
      <alignment horizontal="center"/>
    </xf>
    <xf numFmtId="172" fontId="16" fillId="0" borderId="18" xfId="0" applyNumberFormat="1" applyFont="1" applyFill="1" applyBorder="1" applyAlignment="1" applyProtection="1">
      <alignment horizontal="center" vertical="center" wrapText="1" readingOrder="1"/>
      <protection locked="0"/>
    </xf>
    <xf numFmtId="164" fontId="16" fillId="0" borderId="14" xfId="0" applyNumberFormat="1" applyFont="1" applyFill="1" applyBorder="1" applyAlignment="1" applyProtection="1">
      <alignment horizontal="center" vertical="center" wrapText="1" readingOrder="1"/>
      <protection locked="0"/>
    </xf>
    <xf numFmtId="164" fontId="16" fillId="0" borderId="14" xfId="0" applyNumberFormat="1" applyFont="1" applyFill="1" applyBorder="1" applyAlignment="1" applyProtection="1">
      <alignment horizontal="center" vertical="center" wrapText="1" readingOrder="1"/>
    </xf>
    <xf numFmtId="164" fontId="16" fillId="0" borderId="14" xfId="0" quotePrefix="1" applyNumberFormat="1" applyFont="1" applyFill="1" applyBorder="1" applyAlignment="1" applyProtection="1">
      <alignment horizontal="center" vertical="center" wrapText="1" readingOrder="1"/>
      <protection locked="0"/>
    </xf>
    <xf numFmtId="0" fontId="16" fillId="0" borderId="15" xfId="0" applyFont="1" applyFill="1" applyBorder="1" applyAlignment="1" applyProtection="1">
      <alignment horizontal="left" vertical="center" wrapText="1" readingOrder="1"/>
      <protection locked="0"/>
    </xf>
    <xf numFmtId="172" fontId="16" fillId="0" borderId="71" xfId="0" applyNumberFormat="1" applyFont="1" applyFill="1" applyBorder="1" applyAlignment="1" applyProtection="1">
      <alignment horizontal="center" vertical="center" wrapText="1" readingOrder="1"/>
      <protection locked="0"/>
    </xf>
    <xf numFmtId="164" fontId="16" fillId="0" borderId="72" xfId="0" applyNumberFormat="1" applyFont="1" applyFill="1" applyBorder="1" applyAlignment="1" applyProtection="1">
      <alignment horizontal="center" vertical="center" wrapText="1" readingOrder="1"/>
      <protection locked="0"/>
    </xf>
    <xf numFmtId="164" fontId="16" fillId="0" borderId="72" xfId="0" applyNumberFormat="1" applyFont="1" applyFill="1" applyBorder="1" applyAlignment="1" applyProtection="1">
      <alignment horizontal="center" vertical="center" wrapText="1" readingOrder="1"/>
    </xf>
    <xf numFmtId="164" fontId="16" fillId="0" borderId="72" xfId="0" quotePrefix="1" applyNumberFormat="1" applyFont="1" applyFill="1" applyBorder="1" applyAlignment="1" applyProtection="1">
      <alignment horizontal="center" vertical="center" wrapText="1" readingOrder="1"/>
      <protection locked="0"/>
    </xf>
    <xf numFmtId="0" fontId="16" fillId="0" borderId="73" xfId="0" applyFont="1" applyFill="1" applyBorder="1" applyAlignment="1" applyProtection="1">
      <alignment horizontal="left" vertical="center" wrapText="1" readingOrder="1"/>
      <protection locked="0"/>
    </xf>
    <xf numFmtId="172" fontId="16" fillId="0" borderId="38" xfId="0" applyNumberFormat="1" applyFont="1" applyFill="1" applyBorder="1" applyAlignment="1" applyProtection="1">
      <alignment horizontal="center" vertical="center" wrapText="1" readingOrder="1"/>
      <protection locked="0"/>
    </xf>
    <xf numFmtId="164" fontId="16" fillId="0" borderId="39" xfId="0" applyNumberFormat="1" applyFont="1" applyFill="1" applyBorder="1" applyAlignment="1" applyProtection="1">
      <alignment horizontal="center" vertical="center" wrapText="1" readingOrder="1"/>
      <protection locked="0"/>
    </xf>
    <xf numFmtId="164" fontId="16" fillId="0" borderId="39" xfId="0" applyNumberFormat="1" applyFont="1" applyFill="1" applyBorder="1" applyAlignment="1" applyProtection="1">
      <alignment horizontal="center" vertical="center" wrapText="1" readingOrder="1"/>
    </xf>
    <xf numFmtId="164" fontId="16" fillId="0" borderId="39" xfId="0" quotePrefix="1" applyNumberFormat="1" applyFont="1" applyFill="1" applyBorder="1" applyAlignment="1" applyProtection="1">
      <alignment horizontal="center" vertical="center" wrapText="1" readingOrder="1"/>
      <protection locked="0"/>
    </xf>
    <xf numFmtId="0" fontId="16" fillId="0" borderId="40" xfId="0" applyFont="1" applyFill="1" applyBorder="1" applyAlignment="1" applyProtection="1">
      <alignment horizontal="left" vertical="center" wrapText="1" readingOrder="1"/>
      <protection locked="0"/>
    </xf>
    <xf numFmtId="172" fontId="16" fillId="0" borderId="19" xfId="0" applyNumberFormat="1" applyFont="1" applyFill="1" applyBorder="1" applyAlignment="1" applyProtection="1">
      <alignment horizontal="center" vertical="center" wrapText="1" readingOrder="1"/>
      <protection locked="0"/>
    </xf>
    <xf numFmtId="164" fontId="16" fillId="0" borderId="32" xfId="0" applyNumberFormat="1" applyFont="1" applyFill="1" applyBorder="1" applyAlignment="1" applyProtection="1">
      <alignment horizontal="center" vertical="center" wrapText="1" readingOrder="1"/>
      <protection locked="0"/>
    </xf>
    <xf numFmtId="164" fontId="16" fillId="0" borderId="32" xfId="0" applyNumberFormat="1" applyFont="1" applyFill="1" applyBorder="1" applyAlignment="1" applyProtection="1">
      <alignment horizontal="center" vertical="center" wrapText="1" readingOrder="1"/>
    </xf>
    <xf numFmtId="164" fontId="16" fillId="0" borderId="32" xfId="0" quotePrefix="1" applyNumberFormat="1" applyFont="1" applyFill="1" applyBorder="1" applyAlignment="1" applyProtection="1">
      <alignment horizontal="center" vertical="center" wrapText="1" readingOrder="1"/>
      <protection locked="0"/>
    </xf>
    <xf numFmtId="0" fontId="16" fillId="0" borderId="37" xfId="0" applyFont="1" applyFill="1" applyBorder="1" applyAlignment="1" applyProtection="1">
      <alignment horizontal="left" vertical="center" wrapText="1" readingOrder="1"/>
      <protection locked="0"/>
    </xf>
    <xf numFmtId="172" fontId="5" fillId="0" borderId="38" xfId="0" applyNumberFormat="1" applyFont="1" applyBorder="1" applyAlignment="1" applyProtection="1">
      <alignment horizontal="center" vertical="center" wrapText="1"/>
      <protection locked="0"/>
    </xf>
    <xf numFmtId="0" fontId="5" fillId="0" borderId="39" xfId="0" applyFont="1" applyBorder="1" applyAlignment="1" applyProtection="1">
      <alignment horizontal="center" vertical="center" wrapText="1"/>
      <protection locked="0"/>
    </xf>
    <xf numFmtId="0" fontId="5" fillId="0" borderId="40" xfId="0" applyFont="1" applyBorder="1" applyAlignment="1" applyProtection="1">
      <alignment horizontal="left" vertical="center" wrapText="1"/>
      <protection locked="0"/>
    </xf>
    <xf numFmtId="172" fontId="5" fillId="0" borderId="19" xfId="0" applyNumberFormat="1" applyFont="1" applyBorder="1" applyAlignment="1" applyProtection="1">
      <alignment horizontal="center" vertical="center" wrapText="1"/>
      <protection locked="0"/>
    </xf>
    <xf numFmtId="0" fontId="5" fillId="0" borderId="32" xfId="0" applyFont="1" applyBorder="1" applyAlignment="1" applyProtection="1">
      <alignment horizontal="center" vertical="center" wrapText="1"/>
      <protection locked="0"/>
    </xf>
    <xf numFmtId="0" fontId="5" fillId="0" borderId="37" xfId="0" applyFont="1" applyBorder="1" applyAlignment="1" applyProtection="1">
      <alignment horizontal="left" vertical="center" wrapText="1"/>
      <protection locked="0"/>
    </xf>
    <xf numFmtId="172" fontId="5" fillId="0" borderId="57" xfId="0" applyNumberFormat="1" applyFont="1" applyBorder="1" applyAlignment="1" applyProtection="1">
      <alignment horizontal="center" vertical="center" wrapText="1"/>
      <protection locked="0"/>
    </xf>
    <xf numFmtId="0" fontId="5" fillId="0" borderId="45" xfId="0" applyFont="1" applyBorder="1" applyAlignment="1" applyProtection="1">
      <alignment horizontal="center" vertical="center" wrapText="1"/>
      <protection locked="0"/>
    </xf>
    <xf numFmtId="164" fontId="16" fillId="0" borderId="38" xfId="0" applyNumberFormat="1" applyFont="1" applyFill="1" applyBorder="1" applyAlignment="1" applyProtection="1">
      <alignment horizontal="center" vertical="center" wrapText="1" readingOrder="1"/>
      <protection locked="0"/>
    </xf>
    <xf numFmtId="172" fontId="5" fillId="0" borderId="0" xfId="0" applyNumberFormat="1" applyFont="1" applyBorder="1" applyAlignment="1" applyProtection="1">
      <alignment horizontal="center" vertical="center" wrapText="1"/>
      <protection locked="0"/>
    </xf>
    <xf numFmtId="0" fontId="5" fillId="0" borderId="64" xfId="0" applyFont="1" applyBorder="1" applyAlignment="1" applyProtection="1">
      <alignment horizontal="center" vertical="center" wrapText="1"/>
      <protection locked="0"/>
    </xf>
    <xf numFmtId="164" fontId="16" fillId="0" borderId="19" xfId="0" applyNumberFormat="1" applyFont="1" applyFill="1" applyBorder="1" applyAlignment="1" applyProtection="1">
      <alignment horizontal="center" vertical="center" wrapText="1" readingOrder="1"/>
      <protection locked="0"/>
    </xf>
    <xf numFmtId="164" fontId="16" fillId="0" borderId="57" xfId="0" applyNumberFormat="1" applyFont="1" applyFill="1" applyBorder="1" applyAlignment="1" applyProtection="1">
      <alignment horizontal="center" vertical="center" wrapText="1" readingOrder="1"/>
      <protection locked="0"/>
    </xf>
    <xf numFmtId="164" fontId="16" fillId="0" borderId="57" xfId="0" applyNumberFormat="1" applyFont="1" applyFill="1" applyBorder="1" applyAlignment="1" applyProtection="1">
      <alignment horizontal="center" vertical="center" wrapText="1" readingOrder="1"/>
    </xf>
    <xf numFmtId="0" fontId="5" fillId="0" borderId="57" xfId="0" applyFont="1" applyBorder="1" applyAlignment="1" applyProtection="1">
      <alignment horizontal="center" vertical="center" wrapText="1"/>
      <protection locked="0"/>
    </xf>
    <xf numFmtId="0" fontId="5" fillId="0" borderId="57" xfId="0" applyFont="1" applyBorder="1" applyAlignment="1" applyProtection="1">
      <alignment horizontal="left" vertical="center" wrapText="1"/>
      <protection locked="0"/>
    </xf>
    <xf numFmtId="0" fontId="18" fillId="3" borderId="10" xfId="0" applyFont="1" applyFill="1" applyBorder="1" applyAlignment="1">
      <alignment horizontal="center"/>
    </xf>
    <xf numFmtId="0" fontId="18" fillId="3" borderId="11" xfId="0" applyFont="1" applyFill="1" applyBorder="1" applyAlignment="1">
      <alignment horizontal="center"/>
    </xf>
    <xf numFmtId="164" fontId="16" fillId="0" borderId="74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75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76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/>
    <xf numFmtId="164" fontId="16" fillId="0" borderId="38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77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78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79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ont="1"/>
    <xf numFmtId="0" fontId="36" fillId="3" borderId="6" xfId="0" applyFont="1" applyFill="1" applyBorder="1" applyAlignment="1" applyProtection="1">
      <alignment horizontal="center"/>
    </xf>
    <xf numFmtId="0" fontId="24" fillId="0" borderId="0" xfId="4" applyFont="1" applyAlignment="1" applyProtection="1">
      <alignment horizontal="left" vertical="top" wrapText="1"/>
      <protection locked="0"/>
    </xf>
    <xf numFmtId="0" fontId="24" fillId="0" borderId="0" xfId="4" applyFont="1" applyAlignment="1">
      <alignment horizontal="left" vertical="top" wrapText="1"/>
    </xf>
    <xf numFmtId="0" fontId="36" fillId="0" borderId="0" xfId="0" applyFont="1" applyBorder="1" applyAlignment="1" applyProtection="1">
      <alignment horizontal="left" vertical="center" wrapText="1"/>
    </xf>
    <xf numFmtId="0" fontId="0" fillId="0" borderId="0" xfId="0" applyFont="1" applyProtection="1">
      <protection locked="0"/>
    </xf>
    <xf numFmtId="0" fontId="0" fillId="0" borderId="0" xfId="4" applyFont="1" applyBorder="1" applyAlignment="1">
      <alignment horizontal="left" vertical="top" wrapText="1"/>
    </xf>
    <xf numFmtId="0" fontId="36" fillId="3" borderId="5" xfId="0" applyFont="1" applyFill="1" applyBorder="1" applyAlignment="1" applyProtection="1">
      <alignment horizontal="center" vertical="center" wrapText="1"/>
    </xf>
    <xf numFmtId="164" fontId="16" fillId="0" borderId="47" xfId="0" applyNumberFormat="1" applyFont="1" applyBorder="1" applyAlignment="1" applyProtection="1">
      <alignment horizontal="left" vertical="center" wrapText="1"/>
      <protection locked="0"/>
    </xf>
    <xf numFmtId="164" fontId="16" fillId="0" borderId="0" xfId="0" applyNumberFormat="1" applyFont="1" applyBorder="1" applyAlignment="1" applyProtection="1">
      <alignment horizontal="left" vertical="center" wrapText="1"/>
      <protection locked="0"/>
    </xf>
    <xf numFmtId="164" fontId="16" fillId="0" borderId="48" xfId="0" applyNumberFormat="1" applyFont="1" applyBorder="1" applyAlignment="1" applyProtection="1">
      <alignment horizontal="left" vertical="center" wrapText="1"/>
      <protection locked="0"/>
    </xf>
    <xf numFmtId="164" fontId="16" fillId="0" borderId="47" xfId="0" applyNumberFormat="1" applyFont="1" applyBorder="1" applyAlignment="1" applyProtection="1">
      <alignment horizontal="center" vertical="center" wrapText="1"/>
      <protection locked="0"/>
    </xf>
    <xf numFmtId="164" fontId="16" fillId="0" borderId="80" xfId="0" applyNumberFormat="1" applyFont="1" applyBorder="1" applyAlignment="1" applyProtection="1">
      <alignment horizontal="left" vertical="center" wrapText="1"/>
      <protection locked="0"/>
    </xf>
    <xf numFmtId="0" fontId="36" fillId="3" borderId="81" xfId="0" applyFont="1" applyFill="1" applyBorder="1" applyAlignment="1" applyProtection="1">
      <alignment horizontal="center" vertical="center" wrapText="1"/>
    </xf>
    <xf numFmtId="0" fontId="36" fillId="3" borderId="82" xfId="0" applyFont="1" applyFill="1" applyBorder="1" applyAlignment="1" applyProtection="1">
      <alignment horizontal="center" vertical="center" wrapText="1"/>
    </xf>
    <xf numFmtId="173" fontId="36" fillId="3" borderId="5" xfId="0" applyNumberFormat="1" applyFont="1" applyFill="1" applyBorder="1" applyAlignment="1" applyProtection="1">
      <alignment horizontal="center" vertical="center" wrapText="1"/>
    </xf>
    <xf numFmtId="0" fontId="19" fillId="0" borderId="0" xfId="0" applyFont="1" applyFill="1" applyBorder="1" applyAlignment="1">
      <alignment horizontal="center"/>
    </xf>
    <xf numFmtId="0" fontId="19" fillId="0" borderId="85" xfId="0" applyFont="1" applyFill="1" applyBorder="1" applyAlignment="1">
      <alignment horizontal="center"/>
    </xf>
    <xf numFmtId="0" fontId="0" fillId="0" borderId="85" xfId="4" applyFont="1" applyBorder="1" applyAlignment="1">
      <alignment horizontal="left" vertical="top" wrapText="1"/>
    </xf>
    <xf numFmtId="0" fontId="36" fillId="3" borderId="5" xfId="0" applyFont="1" applyFill="1" applyBorder="1" applyAlignment="1" applyProtection="1"/>
    <xf numFmtId="0" fontId="0" fillId="0" borderId="0" xfId="0" quotePrefix="1"/>
    <xf numFmtId="0" fontId="12" fillId="0" borderId="0" xfId="0" applyFont="1"/>
    <xf numFmtId="0" fontId="36" fillId="0" borderId="13" xfId="0" applyFont="1" applyBorder="1" applyAlignment="1" applyProtection="1">
      <alignment horizontal="left" vertical="center" wrapText="1"/>
    </xf>
    <xf numFmtId="0" fontId="0" fillId="0" borderId="13" xfId="0" applyBorder="1" applyAlignment="1" applyProtection="1">
      <alignment horizontal="left" vertical="center" wrapText="1"/>
      <protection locked="0"/>
    </xf>
    <xf numFmtId="0" fontId="16" fillId="0" borderId="13" xfId="0" applyFont="1" applyBorder="1" applyAlignment="1" applyProtection="1">
      <alignment horizontal="left" vertical="center" wrapText="1"/>
      <protection locked="0"/>
    </xf>
    <xf numFmtId="0" fontId="36" fillId="3" borderId="92" xfId="0" applyFont="1" applyFill="1" applyBorder="1" applyProtection="1"/>
    <xf numFmtId="0" fontId="36" fillId="3" borderId="3" xfId="0" applyFont="1" applyFill="1" applyBorder="1" applyProtection="1"/>
    <xf numFmtId="0" fontId="36" fillId="3" borderId="3" xfId="0" applyFont="1" applyFill="1" applyBorder="1" applyAlignment="1" applyProtection="1">
      <alignment horizontal="center"/>
    </xf>
    <xf numFmtId="0" fontId="36" fillId="3" borderId="98" xfId="0" applyFont="1" applyFill="1" applyBorder="1" applyAlignment="1" applyProtection="1">
      <alignment horizontal="center"/>
    </xf>
    <xf numFmtId="0" fontId="36" fillId="3" borderId="7" xfId="0" applyFont="1" applyFill="1" applyBorder="1" applyAlignment="1" applyProtection="1">
      <alignment horizontal="center"/>
    </xf>
    <xf numFmtId="0" fontId="16" fillId="0" borderId="100" xfId="0" applyFont="1" applyBorder="1" applyAlignment="1" applyProtection="1">
      <alignment horizontal="center" wrapText="1"/>
      <protection locked="0"/>
    </xf>
    <xf numFmtId="167" fontId="16" fillId="0" borderId="101" xfId="0" applyNumberFormat="1" applyFont="1" applyBorder="1" applyAlignment="1" applyProtection="1">
      <alignment horizontal="center" wrapText="1"/>
      <protection locked="0"/>
    </xf>
    <xf numFmtId="167" fontId="16" fillId="0" borderId="75" xfId="0" applyNumberFormat="1" applyFont="1" applyBorder="1" applyAlignment="1" applyProtection="1">
      <alignment horizontal="center" wrapText="1"/>
      <protection locked="0"/>
    </xf>
    <xf numFmtId="164" fontId="16" fillId="0" borderId="100" xfId="0" applyNumberFormat="1" applyFont="1" applyBorder="1" applyAlignment="1" applyProtection="1">
      <alignment horizontal="center" wrapText="1"/>
      <protection locked="0"/>
    </xf>
    <xf numFmtId="0" fontId="16" fillId="0" borderId="17" xfId="0" applyFont="1" applyBorder="1" applyAlignment="1" applyProtection="1">
      <alignment horizontal="center" wrapText="1"/>
      <protection locked="0"/>
    </xf>
    <xf numFmtId="167" fontId="16" fillId="0" borderId="103" xfId="0" applyNumberFormat="1" applyFont="1" applyBorder="1" applyAlignment="1" applyProtection="1">
      <alignment horizontal="center" wrapText="1"/>
      <protection locked="0"/>
    </xf>
    <xf numFmtId="167" fontId="16" fillId="0" borderId="39" xfId="0" applyNumberFormat="1" applyFont="1" applyBorder="1" applyAlignment="1" applyProtection="1">
      <alignment horizontal="center" wrapText="1"/>
      <protection locked="0"/>
    </xf>
    <xf numFmtId="164" fontId="16" fillId="0" borderId="31" xfId="0" applyNumberFormat="1" applyFont="1" applyBorder="1" applyAlignment="1" applyProtection="1">
      <alignment horizontal="center" wrapText="1"/>
      <protection locked="0"/>
    </xf>
    <xf numFmtId="0" fontId="16" fillId="0" borderId="30" xfId="0" applyFont="1" applyBorder="1" applyAlignment="1" applyProtection="1">
      <alignment horizontal="center" wrapText="1"/>
      <protection locked="0"/>
    </xf>
    <xf numFmtId="167" fontId="16" fillId="0" borderId="105" xfId="0" applyNumberFormat="1" applyFont="1" applyBorder="1" applyAlignment="1" applyProtection="1">
      <alignment horizontal="center" wrapText="1"/>
      <protection locked="0"/>
    </xf>
    <xf numFmtId="167" fontId="16" fillId="0" borderId="32" xfId="0" applyNumberFormat="1" applyFont="1" applyBorder="1" applyAlignment="1" applyProtection="1">
      <alignment horizontal="center" wrapText="1"/>
      <protection locked="0"/>
    </xf>
    <xf numFmtId="164" fontId="16" fillId="0" borderId="104" xfId="0" applyNumberFormat="1" applyFont="1" applyBorder="1" applyAlignment="1" applyProtection="1">
      <alignment horizontal="center" wrapText="1"/>
      <protection locked="0"/>
    </xf>
    <xf numFmtId="0" fontId="16" fillId="0" borderId="107" xfId="0" applyFont="1" applyBorder="1" applyAlignment="1" applyProtection="1">
      <alignment horizontal="center" wrapText="1"/>
      <protection locked="0"/>
    </xf>
    <xf numFmtId="167" fontId="16" fillId="0" borderId="108" xfId="0" applyNumberFormat="1" applyFont="1" applyBorder="1" applyAlignment="1" applyProtection="1">
      <alignment horizontal="center" wrapText="1"/>
      <protection locked="0"/>
    </xf>
    <xf numFmtId="167" fontId="16" fillId="0" borderId="109" xfId="0" applyNumberFormat="1" applyFont="1" applyBorder="1" applyAlignment="1" applyProtection="1">
      <alignment horizontal="center" wrapText="1"/>
      <protection locked="0"/>
    </xf>
    <xf numFmtId="164" fontId="16" fillId="0" borderId="110" xfId="0" applyNumberFormat="1" applyFont="1" applyBorder="1" applyAlignment="1" applyProtection="1">
      <alignment horizontal="center" wrapText="1"/>
      <protection locked="0"/>
    </xf>
    <xf numFmtId="0" fontId="0" fillId="0" borderId="113" xfId="0" applyBorder="1"/>
    <xf numFmtId="0" fontId="16" fillId="0" borderId="90" xfId="0" applyFont="1" applyBorder="1" applyAlignment="1" applyProtection="1">
      <alignment horizontal="center"/>
    </xf>
    <xf numFmtId="0" fontId="36" fillId="3" borderId="10" xfId="0" applyFont="1" applyFill="1" applyBorder="1" applyAlignment="1" applyProtection="1">
      <alignment horizontal="center"/>
    </xf>
    <xf numFmtId="0" fontId="36" fillId="3" borderId="5" xfId="0" applyFont="1" applyFill="1" applyBorder="1" applyAlignment="1" applyProtection="1">
      <alignment horizontal="center" wrapText="1"/>
    </xf>
    <xf numFmtId="175" fontId="16" fillId="0" borderId="74" xfId="0" applyNumberFormat="1" applyFont="1" applyBorder="1" applyAlignment="1" applyProtection="1">
      <alignment horizontal="center"/>
      <protection locked="0"/>
    </xf>
    <xf numFmtId="176" fontId="16" fillId="0" borderId="75" xfId="0" applyNumberFormat="1" applyFont="1" applyBorder="1" applyAlignment="1" applyProtection="1">
      <alignment horizontal="center"/>
      <protection locked="0"/>
    </xf>
    <xf numFmtId="177" fontId="16" fillId="0" borderId="75" xfId="0" applyNumberFormat="1" applyFont="1" applyBorder="1" applyAlignment="1" applyProtection="1">
      <alignment horizontal="center"/>
    </xf>
    <xf numFmtId="175" fontId="16" fillId="0" borderId="38" xfId="0" applyNumberFormat="1" applyFont="1" applyBorder="1" applyAlignment="1" applyProtection="1">
      <alignment horizontal="center"/>
      <protection locked="0"/>
    </xf>
    <xf numFmtId="176" fontId="16" fillId="0" borderId="39" xfId="0" applyNumberFormat="1" applyFont="1" applyBorder="1" applyAlignment="1" applyProtection="1">
      <alignment horizontal="center"/>
      <protection locked="0"/>
    </xf>
    <xf numFmtId="177" fontId="16" fillId="0" borderId="39" xfId="0" applyNumberFormat="1" applyFont="1" applyBorder="1" applyAlignment="1" applyProtection="1">
      <alignment horizontal="center"/>
    </xf>
    <xf numFmtId="175" fontId="16" fillId="0" borderId="19" xfId="0" applyNumberFormat="1" applyFont="1" applyBorder="1" applyAlignment="1" applyProtection="1">
      <alignment horizontal="center"/>
      <protection locked="0"/>
    </xf>
    <xf numFmtId="175" fontId="16" fillId="0" borderId="71" xfId="0" applyNumberFormat="1" applyFont="1" applyBorder="1" applyAlignment="1" applyProtection="1">
      <alignment horizontal="center"/>
      <protection locked="0"/>
    </xf>
    <xf numFmtId="175" fontId="16" fillId="0" borderId="10" xfId="0" applyNumberFormat="1" applyFont="1" applyBorder="1" applyAlignment="1" applyProtection="1">
      <alignment horizontal="center"/>
      <protection locked="0"/>
    </xf>
    <xf numFmtId="176" fontId="16" fillId="0" borderId="5" xfId="0" applyNumberFormat="1" applyFont="1" applyBorder="1" applyAlignment="1" applyProtection="1">
      <alignment horizontal="center"/>
      <protection locked="0"/>
    </xf>
    <xf numFmtId="177" fontId="16" fillId="0" borderId="5" xfId="0" applyNumberFormat="1" applyFont="1" applyBorder="1" applyAlignment="1" applyProtection="1">
      <alignment horizontal="center"/>
    </xf>
    <xf numFmtId="164" fontId="0" fillId="0" borderId="66" xfId="0" applyNumberFormat="1" applyBorder="1" applyAlignment="1" applyProtection="1">
      <alignment horizontal="center"/>
      <protection locked="0"/>
    </xf>
    <xf numFmtId="164" fontId="0" fillId="0" borderId="64" xfId="0" applyNumberFormat="1" applyBorder="1" applyAlignment="1" applyProtection="1">
      <alignment horizontal="center"/>
      <protection locked="0"/>
    </xf>
    <xf numFmtId="164" fontId="0" fillId="0" borderId="70" xfId="0" applyNumberFormat="1" applyBorder="1" applyAlignment="1" applyProtection="1">
      <alignment horizontal="center"/>
      <protection locked="0"/>
    </xf>
    <xf numFmtId="164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164" fontId="0" fillId="0" borderId="66" xfId="0" applyNumberFormat="1" applyFill="1" applyBorder="1" applyAlignment="1" applyProtection="1">
      <alignment horizontal="center"/>
      <protection locked="0"/>
    </xf>
    <xf numFmtId="171" fontId="16" fillId="0" borderId="45" xfId="5" applyNumberFormat="1" applyFont="1" applyFill="1" applyBorder="1" applyAlignment="1" applyProtection="1">
      <alignment horizontal="center" vertical="center" wrapText="1"/>
      <protection locked="0"/>
    </xf>
    <xf numFmtId="171" fontId="16" fillId="0" borderId="48" xfId="5" applyNumberFormat="1" applyFont="1" applyFill="1" applyBorder="1" applyAlignment="1" applyProtection="1">
      <alignment horizontal="center" vertical="center" wrapText="1"/>
      <protection locked="0"/>
    </xf>
    <xf numFmtId="164" fontId="16" fillId="0" borderId="66" xfId="0" applyNumberFormat="1" applyFont="1" applyFill="1" applyBorder="1" applyAlignment="1" applyProtection="1">
      <alignment horizontal="center"/>
      <protection locked="0"/>
    </xf>
    <xf numFmtId="0" fontId="16" fillId="0" borderId="38" xfId="0" applyFont="1" applyFill="1" applyBorder="1" applyAlignment="1">
      <alignment horizontal="left" vertical="center" wrapText="1"/>
    </xf>
    <xf numFmtId="167" fontId="16" fillId="0" borderId="32" xfId="0" applyNumberFormat="1" applyFont="1" applyFill="1" applyBorder="1" applyAlignment="1" applyProtection="1">
      <alignment horizontal="center" vertical="center" wrapText="1"/>
      <protection locked="0"/>
    </xf>
    <xf numFmtId="167" fontId="16" fillId="0" borderId="39" xfId="0" applyNumberFormat="1" applyFont="1" applyFill="1" applyBorder="1" applyAlignment="1" applyProtection="1">
      <alignment horizontal="center" vertical="center" wrapText="1"/>
      <protection locked="0"/>
    </xf>
    <xf numFmtId="167" fontId="16" fillId="0" borderId="40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70" xfId="0" applyNumberFormat="1" applyFont="1" applyBorder="1" applyAlignment="1" applyProtection="1">
      <alignment horizontal="center" vertical="center" wrapText="1"/>
      <protection locked="0"/>
    </xf>
    <xf numFmtId="164" fontId="16" fillId="0" borderId="66" xfId="0" applyNumberFormat="1" applyFont="1" applyBorder="1" applyAlignment="1" applyProtection="1">
      <alignment horizontal="center" vertical="center" wrapText="1"/>
      <protection locked="0"/>
    </xf>
    <xf numFmtId="164" fontId="16" fillId="0" borderId="0" xfId="0" applyNumberFormat="1" applyFont="1" applyBorder="1" applyAlignment="1" applyProtection="1">
      <alignment horizontal="center" vertical="center" wrapText="1"/>
      <protection locked="0"/>
    </xf>
    <xf numFmtId="0" fontId="18" fillId="3" borderId="18" xfId="0" applyFont="1" applyFill="1" applyBorder="1" applyAlignment="1">
      <alignment horizontal="center"/>
    </xf>
    <xf numFmtId="164" fontId="0" fillId="0" borderId="68" xfId="0" applyNumberFormat="1" applyFont="1" applyBorder="1" applyAlignment="1" applyProtection="1">
      <alignment horizontal="center" vertical="center" wrapText="1"/>
      <protection locked="0"/>
    </xf>
    <xf numFmtId="164" fontId="0" fillId="0" borderId="45" xfId="0" applyNumberFormat="1" applyFont="1" applyBorder="1" applyAlignment="1" applyProtection="1">
      <alignment horizontal="center" vertical="center" wrapText="1"/>
      <protection locked="0"/>
    </xf>
    <xf numFmtId="164" fontId="0" fillId="0" borderId="69" xfId="0" applyNumberFormat="1" applyFont="1" applyBorder="1" applyAlignment="1" applyProtection="1">
      <alignment horizontal="center" vertical="center" wrapText="1"/>
      <protection locked="0"/>
    </xf>
    <xf numFmtId="164" fontId="0" fillId="0" borderId="0" xfId="0" applyNumberFormat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64" xfId="0" applyNumberFormat="1" applyFill="1" applyBorder="1" applyAlignment="1" applyProtection="1">
      <alignment horizontal="center"/>
      <protection locked="0"/>
    </xf>
    <xf numFmtId="1" fontId="16" fillId="0" borderId="39" xfId="0" applyNumberFormat="1" applyFont="1" applyFill="1" applyBorder="1" applyAlignment="1" applyProtection="1">
      <alignment horizontal="center" vertical="center" wrapText="1"/>
      <protection locked="0"/>
    </xf>
    <xf numFmtId="49" fontId="16" fillId="0" borderId="39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5" xfId="0" applyFont="1" applyFill="1" applyBorder="1" applyAlignment="1" applyProtection="1">
      <alignment horizontal="center" vertical="center" wrapText="1"/>
      <protection locked="0"/>
    </xf>
    <xf numFmtId="0" fontId="18" fillId="0" borderId="11" xfId="0" applyFont="1" applyFill="1" applyBorder="1" applyAlignment="1" applyProtection="1">
      <alignment horizontal="center" vertical="center" wrapText="1"/>
      <protection locked="0"/>
    </xf>
    <xf numFmtId="2" fontId="20" fillId="0" borderId="7" xfId="0" applyNumberFormat="1" applyFont="1" applyFill="1" applyBorder="1" applyAlignment="1" applyProtection="1">
      <alignment horizontal="center" vertical="center"/>
    </xf>
    <xf numFmtId="2" fontId="20" fillId="0" borderId="9" xfId="0" applyNumberFormat="1" applyFont="1" applyFill="1" applyBorder="1" applyAlignment="1" applyProtection="1">
      <alignment horizontal="center" vertical="center"/>
    </xf>
    <xf numFmtId="49" fontId="20" fillId="0" borderId="7" xfId="0" applyNumberFormat="1" applyFont="1" applyFill="1" applyBorder="1" applyAlignment="1" applyProtection="1">
      <alignment horizontal="center" vertical="center"/>
    </xf>
    <xf numFmtId="49" fontId="20" fillId="0" borderId="9" xfId="0" applyNumberFormat="1" applyFont="1" applyFill="1" applyBorder="1" applyAlignment="1" applyProtection="1">
      <alignment horizontal="center" vertical="center"/>
    </xf>
    <xf numFmtId="49" fontId="20" fillId="0" borderId="6" xfId="0" applyNumberFormat="1" applyFont="1" applyFill="1" applyBorder="1" applyAlignment="1" applyProtection="1">
      <alignment vertical="center" wrapText="1"/>
    </xf>
    <xf numFmtId="0" fontId="32" fillId="3" borderId="114" xfId="0" applyFont="1" applyFill="1" applyBorder="1" applyAlignment="1">
      <alignment horizontal="center"/>
    </xf>
    <xf numFmtId="0" fontId="32" fillId="3" borderId="0" xfId="0" applyFont="1" applyFill="1" applyBorder="1" applyAlignment="1">
      <alignment horizontal="center"/>
    </xf>
    <xf numFmtId="0" fontId="32" fillId="3" borderId="17" xfId="0" applyFont="1" applyFill="1" applyBorder="1" applyAlignment="1">
      <alignment horizontal="center"/>
    </xf>
    <xf numFmtId="0" fontId="32" fillId="3" borderId="13" xfId="0" applyFont="1" applyFill="1" applyBorder="1" applyAlignment="1">
      <alignment horizontal="center"/>
    </xf>
    <xf numFmtId="2" fontId="16" fillId="0" borderId="45" xfId="0" applyNumberFormat="1" applyFont="1" applyBorder="1" applyAlignment="1" applyProtection="1">
      <alignment horizontal="center" vertical="center" wrapText="1"/>
      <protection locked="0"/>
    </xf>
    <xf numFmtId="2" fontId="0" fillId="0" borderId="66" xfId="0" applyNumberFormat="1" applyFill="1" applyBorder="1" applyAlignment="1" applyProtection="1">
      <alignment horizontal="center"/>
      <protection locked="0"/>
    </xf>
    <xf numFmtId="2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" fontId="0" fillId="0" borderId="66" xfId="0" applyNumberFormat="1" applyBorder="1" applyAlignment="1" applyProtection="1">
      <alignment horizontal="center"/>
      <protection locked="0"/>
    </xf>
    <xf numFmtId="2" fontId="16" fillId="0" borderId="68" xfId="0" applyNumberFormat="1" applyFont="1" applyBorder="1" applyAlignment="1" applyProtection="1">
      <alignment horizontal="center" vertical="center" wrapText="1"/>
      <protection locked="0"/>
    </xf>
    <xf numFmtId="2" fontId="16" fillId="0" borderId="69" xfId="0" applyNumberFormat="1" applyFont="1" applyBorder="1" applyAlignment="1" applyProtection="1">
      <alignment horizontal="center" vertical="center" wrapText="1"/>
      <protection locked="0"/>
    </xf>
    <xf numFmtId="2" fontId="0" fillId="0" borderId="70" xfId="0" applyNumberFormat="1" applyBorder="1" applyAlignment="1" applyProtection="1">
      <alignment horizontal="center"/>
      <protection locked="0"/>
    </xf>
    <xf numFmtId="2" fontId="16" fillId="0" borderId="60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29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34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33" xfId="0" applyNumberFormat="1" applyFont="1" applyBorder="1" applyAlignment="1" applyProtection="1">
      <alignment horizontal="center" vertical="center" wrapText="1"/>
      <protection locked="0"/>
    </xf>
    <xf numFmtId="2" fontId="16" fillId="0" borderId="29" xfId="0" applyNumberFormat="1" applyFont="1" applyBorder="1" applyAlignment="1" applyProtection="1">
      <alignment horizontal="center" vertical="center" wrapText="1"/>
      <protection locked="0"/>
    </xf>
    <xf numFmtId="2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13" xfId="0" applyNumberFormat="1" applyFont="1" applyFill="1" applyBorder="1" applyAlignment="1" applyProtection="1">
      <alignment horizontal="center" vertical="center" wrapText="1"/>
      <protection locked="0"/>
    </xf>
    <xf numFmtId="2" fontId="20" fillId="3" borderId="5" xfId="0" applyNumberFormat="1" applyFont="1" applyFill="1" applyBorder="1" applyAlignment="1" applyProtection="1">
      <alignment horizontal="center" vertical="center"/>
    </xf>
    <xf numFmtId="2" fontId="16" fillId="0" borderId="72" xfId="0" applyNumberFormat="1" applyFont="1" applyFill="1" applyBorder="1" applyAlignment="1" applyProtection="1">
      <alignment horizontal="center" vertical="center" wrapText="1"/>
      <protection locked="0"/>
    </xf>
    <xf numFmtId="49" fontId="16" fillId="0" borderId="124" xfId="0" applyNumberFormat="1" applyFont="1" applyFill="1" applyBorder="1" applyAlignment="1" applyProtection="1">
      <alignment horizontal="center" vertical="center" wrapText="1"/>
      <protection locked="0"/>
    </xf>
    <xf numFmtId="0" fontId="52" fillId="0" borderId="0" xfId="0" applyFont="1"/>
    <xf numFmtId="0" fontId="25" fillId="0" borderId="0" xfId="0" applyFont="1"/>
    <xf numFmtId="0" fontId="58" fillId="0" borderId="0" xfId="0" applyFont="1"/>
    <xf numFmtId="169" fontId="0" fillId="0" borderId="0" xfId="0" applyNumberFormat="1" applyFont="1" applyFill="1" applyBorder="1" applyAlignment="1" applyProtection="1">
      <alignment horizontal="left" vertical="top" wrapText="1"/>
      <protection locked="0"/>
    </xf>
    <xf numFmtId="166" fontId="0" fillId="0" borderId="0" xfId="0" applyNumberFormat="1" applyFont="1" applyFill="1" applyBorder="1" applyAlignment="1" applyProtection="1">
      <alignment horizontal="left" vertical="top" wrapText="1"/>
      <protection locked="0"/>
    </xf>
    <xf numFmtId="0" fontId="0" fillId="0" borderId="0" xfId="0" applyFill="1" applyBorder="1" applyAlignment="1" applyProtection="1">
      <alignment horizontal="left" vertical="top" wrapText="1"/>
      <protection locked="0"/>
    </xf>
    <xf numFmtId="0" fontId="0" fillId="0" borderId="0" xfId="0" applyFont="1" applyFill="1" applyBorder="1" applyAlignment="1" applyProtection="1">
      <alignment horizontal="left" vertical="top" wrapText="1"/>
      <protection locked="0"/>
    </xf>
    <xf numFmtId="0" fontId="0" fillId="0" borderId="0" xfId="0" applyFont="1" applyFill="1" applyBorder="1" applyAlignment="1" applyProtection="1">
      <alignment horizontal="center" vertical="top" wrapText="1"/>
      <protection locked="0"/>
    </xf>
    <xf numFmtId="0" fontId="0" fillId="7" borderId="0" xfId="0" applyFont="1" applyFill="1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ont="1" applyFill="1" applyAlignment="1" applyProtection="1">
      <alignment horizontal="left" vertical="top" wrapText="1"/>
      <protection locked="0"/>
    </xf>
    <xf numFmtId="0" fontId="21" fillId="0" borderId="16" xfId="0" applyFont="1" applyFill="1" applyBorder="1" applyAlignment="1">
      <alignment horizontal="center"/>
    </xf>
    <xf numFmtId="166" fontId="0" fillId="0" borderId="12" xfId="0" applyNumberFormat="1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8" fillId="3" borderId="3" xfId="0" applyFont="1" applyFill="1" applyBorder="1" applyAlignment="1">
      <alignment horizontal="left" vertical="center"/>
    </xf>
    <xf numFmtId="49" fontId="0" fillId="0" borderId="0" xfId="0" quotePrefix="1" applyNumberFormat="1" applyFont="1" applyFill="1" applyBorder="1" applyAlignment="1" applyProtection="1">
      <alignment horizontal="left" vertical="top" wrapText="1"/>
      <protection locked="0"/>
    </xf>
    <xf numFmtId="0" fontId="19" fillId="0" borderId="0" xfId="0" applyFont="1" applyFill="1" applyBorder="1" applyAlignment="1">
      <alignment horizontal="left"/>
    </xf>
    <xf numFmtId="0" fontId="18" fillId="3" borderId="3" xfId="0" applyFont="1" applyFill="1" applyBorder="1" applyAlignment="1" applyProtection="1">
      <alignment horizontal="left" vertical="center"/>
    </xf>
    <xf numFmtId="0" fontId="0" fillId="0" borderId="12" xfId="0" applyFont="1" applyFill="1" applyBorder="1" applyAlignment="1" applyProtection="1">
      <alignment horizontal="left" vertical="top" wrapText="1"/>
      <protection locked="0"/>
    </xf>
    <xf numFmtId="0" fontId="12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12" xfId="0" applyFont="1" applyFill="1" applyBorder="1" applyAlignment="1" applyProtection="1">
      <alignment horizontal="left" vertical="top"/>
      <protection locked="0"/>
    </xf>
    <xf numFmtId="0" fontId="0" fillId="0" borderId="0" xfId="0" applyFont="1" applyFill="1" applyAlignment="1" applyProtection="1">
      <alignment horizontal="left" vertical="top"/>
      <protection locked="0"/>
    </xf>
    <xf numFmtId="0" fontId="0" fillId="0" borderId="2" xfId="0" applyFont="1" applyFill="1" applyBorder="1" applyAlignment="1" applyProtection="1">
      <alignment horizontal="left" vertical="top"/>
      <protection locked="0"/>
    </xf>
    <xf numFmtId="0" fontId="18" fillId="4" borderId="3" xfId="0" applyFont="1" applyFill="1" applyBorder="1" applyAlignment="1">
      <alignment horizontal="left" vertical="center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0" borderId="4" xfId="0" applyFont="1" applyFill="1" applyBorder="1" applyAlignment="1">
      <alignment vertical="top" wrapText="1"/>
    </xf>
    <xf numFmtId="170" fontId="0" fillId="0" borderId="4" xfId="0" applyNumberFormat="1" applyFont="1" applyFill="1" applyBorder="1" applyAlignment="1" applyProtection="1">
      <alignment horizontal="left" vertical="top" wrapText="1"/>
      <protection locked="0"/>
    </xf>
    <xf numFmtId="170" fontId="0" fillId="0" borderId="4" xfId="0" applyNumberForma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wrapText="1"/>
      <protection locked="0"/>
    </xf>
    <xf numFmtId="0" fontId="18" fillId="4" borderId="28" xfId="0" applyFont="1" applyFill="1" applyBorder="1" applyAlignment="1">
      <alignment horizontal="left" vertical="center"/>
    </xf>
    <xf numFmtId="0" fontId="18" fillId="3" borderId="13" xfId="0" applyFont="1" applyFill="1" applyBorder="1" applyAlignment="1" applyProtection="1">
      <alignment horizontal="center" wrapText="1"/>
    </xf>
    <xf numFmtId="0" fontId="18" fillId="3" borderId="27" xfId="0" applyFont="1" applyFill="1" applyBorder="1" applyAlignment="1" applyProtection="1">
      <alignment horizontal="center" wrapText="1"/>
    </xf>
    <xf numFmtId="0" fontId="13" fillId="0" borderId="0" xfId="0" applyFont="1" applyFill="1" applyAlignment="1" applyProtection="1">
      <alignment horizontal="left"/>
    </xf>
    <xf numFmtId="0" fontId="4" fillId="0" borderId="0" xfId="0" applyFont="1" applyFill="1" applyBorder="1" applyAlignment="1" applyProtection="1">
      <alignment horizontal="center" vertical="center" wrapText="1"/>
    </xf>
    <xf numFmtId="2" fontId="5" fillId="0" borderId="0" xfId="0" applyNumberFormat="1" applyFont="1" applyFill="1" applyBorder="1" applyAlignment="1" applyProtection="1">
      <alignment horizontal="center"/>
    </xf>
    <xf numFmtId="0" fontId="18" fillId="3" borderId="17" xfId="0" applyFont="1" applyFill="1" applyBorder="1" applyAlignment="1" applyProtection="1">
      <alignment vertical="center" wrapText="1"/>
    </xf>
    <xf numFmtId="0" fontId="18" fillId="3" borderId="23" xfId="0" applyFont="1" applyFill="1" applyBorder="1" applyAlignment="1" applyProtection="1">
      <alignment vertical="center" wrapText="1"/>
    </xf>
    <xf numFmtId="0" fontId="18" fillId="3" borderId="22" xfId="0" applyFont="1" applyFill="1" applyBorder="1" applyAlignment="1" applyProtection="1">
      <alignment horizontal="center"/>
    </xf>
    <xf numFmtId="0" fontId="18" fillId="3" borderId="3" xfId="0" applyFont="1" applyFill="1" applyBorder="1" applyAlignment="1" applyProtection="1">
      <alignment horizontal="center"/>
    </xf>
    <xf numFmtId="0" fontId="18" fillId="3" borderId="21" xfId="0" applyFont="1" applyFill="1" applyBorder="1" applyAlignment="1" applyProtection="1">
      <alignment horizontal="center"/>
    </xf>
    <xf numFmtId="170" fontId="5" fillId="0" borderId="0" xfId="0" applyNumberFormat="1" applyFont="1" applyFill="1" applyBorder="1" applyAlignment="1" applyProtection="1">
      <alignment horizontal="left"/>
    </xf>
    <xf numFmtId="170" fontId="5" fillId="0" borderId="0" xfId="0" applyNumberFormat="1" applyFont="1" applyFill="1" applyAlignment="1">
      <alignment horizontal="left"/>
    </xf>
    <xf numFmtId="0" fontId="14" fillId="0" borderId="0" xfId="0" applyFont="1" applyFill="1" applyBorder="1" applyAlignment="1" applyProtection="1">
      <alignment horizontal="left" vertical="center" wrapText="1"/>
    </xf>
    <xf numFmtId="0" fontId="20" fillId="0" borderId="18" xfId="0" applyFont="1" applyFill="1" applyBorder="1" applyAlignment="1" applyProtection="1">
      <alignment horizontal="center" vertical="center"/>
    </xf>
    <xf numFmtId="0" fontId="20" fillId="0" borderId="19" xfId="0" applyFont="1" applyFill="1" applyBorder="1" applyAlignment="1" applyProtection="1">
      <alignment horizontal="center" vertical="center"/>
    </xf>
    <xf numFmtId="0" fontId="20" fillId="0" borderId="10" xfId="0" applyFont="1" applyFill="1" applyBorder="1" applyAlignment="1" applyProtection="1">
      <alignment horizontal="center" vertic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16" fillId="0" borderId="44" xfId="0" applyFont="1" applyBorder="1" applyAlignment="1" applyProtection="1">
      <alignment horizontal="left" vertical="center" wrapText="1"/>
      <protection locked="0"/>
    </xf>
    <xf numFmtId="0" fontId="16" fillId="0" borderId="29" xfId="0" applyFont="1" applyBorder="1" applyAlignment="1" applyProtection="1">
      <alignment horizontal="left" vertical="center" wrapText="1"/>
      <protection locked="0"/>
    </xf>
    <xf numFmtId="0" fontId="16" fillId="0" borderId="42" xfId="0" applyFont="1" applyBorder="1" applyAlignment="1" applyProtection="1">
      <alignment horizontal="left" vertical="center" wrapText="1"/>
      <protection locked="0"/>
    </xf>
    <xf numFmtId="0" fontId="18" fillId="3" borderId="6" xfId="0" applyFont="1" applyFill="1" applyBorder="1" applyAlignment="1">
      <alignment horizontal="center" vertical="center"/>
    </xf>
    <xf numFmtId="0" fontId="18" fillId="3" borderId="12" xfId="0" applyFont="1" applyFill="1" applyBorder="1" applyAlignment="1">
      <alignment horizontal="center" vertical="center"/>
    </xf>
    <xf numFmtId="0" fontId="16" fillId="0" borderId="43" xfId="0" applyFont="1" applyBorder="1" applyAlignment="1" applyProtection="1">
      <alignment horizontal="center" vertical="center" wrapText="1"/>
      <protection locked="0"/>
    </xf>
    <xf numFmtId="0" fontId="16" fillId="0" borderId="29" xfId="0" applyFont="1" applyBorder="1" applyAlignment="1" applyProtection="1">
      <alignment horizontal="center" vertical="center" wrapText="1"/>
      <protection locked="0"/>
    </xf>
    <xf numFmtId="0" fontId="16" fillId="0" borderId="47" xfId="0" applyFont="1" applyBorder="1" applyAlignment="1" applyProtection="1">
      <alignment horizontal="center" vertical="center" wrapText="1"/>
      <protection locked="0"/>
    </xf>
    <xf numFmtId="0" fontId="16" fillId="0" borderId="44" xfId="0" applyFont="1" applyBorder="1" applyAlignment="1" applyProtection="1">
      <alignment horizontal="center" vertical="center" wrapText="1"/>
      <protection locked="0"/>
    </xf>
    <xf numFmtId="0" fontId="16" fillId="0" borderId="42" xfId="0" applyFont="1" applyBorder="1" applyAlignment="1" applyProtection="1">
      <alignment horizontal="center" vertical="center" wrapText="1"/>
      <protection locked="0"/>
    </xf>
    <xf numFmtId="0" fontId="16" fillId="0" borderId="0" xfId="0" applyFont="1" applyBorder="1" applyProtection="1">
      <protection locked="0"/>
    </xf>
    <xf numFmtId="0" fontId="16" fillId="0" borderId="0" xfId="0" applyFont="1" applyBorder="1" applyAlignment="1" applyProtection="1">
      <alignment horizontal="left" vertical="center" wrapText="1"/>
      <protection locked="0"/>
    </xf>
    <xf numFmtId="0" fontId="16" fillId="0" borderId="60" xfId="0" applyFont="1" applyBorder="1" applyAlignment="1" applyProtection="1">
      <alignment horizontal="left" vertical="center" wrapText="1"/>
      <protection locked="0"/>
    </xf>
    <xf numFmtId="0" fontId="32" fillId="3" borderId="3" xfId="0" applyFont="1" applyFill="1" applyBorder="1" applyAlignment="1">
      <alignment horizontal="center" vertical="center"/>
    </xf>
    <xf numFmtId="0" fontId="32" fillId="3" borderId="6" xfId="0" applyFont="1" applyFill="1" applyBorder="1" applyAlignment="1">
      <alignment horizontal="center"/>
    </xf>
    <xf numFmtId="0" fontId="32" fillId="3" borderId="61" xfId="0" applyFont="1" applyFill="1" applyBorder="1" applyAlignment="1">
      <alignment horizontal="center"/>
    </xf>
    <xf numFmtId="0" fontId="32" fillId="3" borderId="62" xfId="0" applyFont="1" applyFill="1" applyBorder="1" applyAlignment="1">
      <alignment horizontal="center"/>
    </xf>
    <xf numFmtId="0" fontId="19" fillId="0" borderId="0" xfId="0" applyFont="1" applyFill="1" applyBorder="1" applyAlignment="1" applyProtection="1">
      <alignment horizontal="left"/>
      <protection locked="0"/>
    </xf>
    <xf numFmtId="0" fontId="18" fillId="3" borderId="6" xfId="0" applyFont="1" applyFill="1" applyBorder="1" applyAlignment="1">
      <alignment horizontal="center"/>
    </xf>
    <xf numFmtId="0" fontId="18" fillId="3" borderId="8" xfId="0" applyFont="1" applyFill="1" applyBorder="1" applyAlignment="1">
      <alignment horizontal="center"/>
    </xf>
    <xf numFmtId="0" fontId="18" fillId="3" borderId="9" xfId="0" applyFont="1" applyFill="1" applyBorder="1" applyAlignment="1">
      <alignment horizontal="center"/>
    </xf>
    <xf numFmtId="0" fontId="18" fillId="3" borderId="15" xfId="0" applyFont="1" applyFill="1" applyBorder="1" applyAlignment="1">
      <alignment horizontal="center"/>
    </xf>
    <xf numFmtId="0" fontId="18" fillId="3" borderId="12" xfId="0" applyFont="1" applyFill="1" applyBorder="1" applyAlignment="1">
      <alignment horizontal="center"/>
    </xf>
    <xf numFmtId="0" fontId="18" fillId="3" borderId="18" xfId="0" applyFont="1" applyFill="1" applyBorder="1" applyAlignment="1">
      <alignment horizontal="center"/>
    </xf>
    <xf numFmtId="0" fontId="18" fillId="3" borderId="15" xfId="0" applyFont="1" applyFill="1" applyBorder="1" applyAlignment="1">
      <alignment horizontal="center" wrapText="1"/>
    </xf>
    <xf numFmtId="0" fontId="18" fillId="3" borderId="12" xfId="0" applyFont="1" applyFill="1" applyBorder="1" applyAlignment="1">
      <alignment horizontal="center" wrapText="1"/>
    </xf>
    <xf numFmtId="0" fontId="18" fillId="3" borderId="41" xfId="0" applyFont="1" applyFill="1" applyBorder="1" applyAlignment="1">
      <alignment horizontal="center"/>
    </xf>
    <xf numFmtId="0" fontId="18" fillId="3" borderId="0" xfId="0" applyFont="1" applyFill="1" applyBorder="1" applyAlignment="1">
      <alignment horizontal="center"/>
    </xf>
    <xf numFmtId="0" fontId="18" fillId="3" borderId="46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16" fillId="0" borderId="56" xfId="0" applyFont="1" applyBorder="1" applyAlignment="1" applyProtection="1">
      <alignment horizontal="center" vertical="center" wrapText="1"/>
      <protection locked="0"/>
    </xf>
    <xf numFmtId="0" fontId="16" fillId="0" borderId="57" xfId="0" applyFont="1" applyBorder="1" applyAlignment="1" applyProtection="1">
      <alignment horizontal="center" vertical="center" wrapText="1"/>
      <protection locked="0"/>
    </xf>
    <xf numFmtId="0" fontId="16" fillId="0" borderId="48" xfId="0" applyFont="1" applyBorder="1" applyAlignment="1" applyProtection="1">
      <alignment horizontal="center" vertical="center" wrapText="1"/>
      <protection locked="0"/>
    </xf>
    <xf numFmtId="0" fontId="0" fillId="0" borderId="57" xfId="0" applyBorder="1" applyAlignment="1" applyProtection="1">
      <alignment horizontal="center" vertical="center" wrapText="1"/>
      <protection locked="0"/>
    </xf>
    <xf numFmtId="0" fontId="0" fillId="0" borderId="48" xfId="0" applyBorder="1" applyAlignment="1" applyProtection="1">
      <alignment horizontal="center" vertical="center" wrapText="1"/>
      <protection locked="0"/>
    </xf>
    <xf numFmtId="0" fontId="16" fillId="0" borderId="56" xfId="0" applyFont="1" applyBorder="1" applyAlignment="1" applyProtection="1">
      <alignment horizontal="left" vertical="center" wrapText="1"/>
      <protection locked="0"/>
    </xf>
    <xf numFmtId="0" fontId="16" fillId="0" borderId="57" xfId="0" applyFont="1" applyBorder="1" applyAlignment="1" applyProtection="1">
      <alignment horizontal="left" vertical="center" wrapText="1"/>
      <protection locked="0"/>
    </xf>
    <xf numFmtId="0" fontId="9" fillId="0" borderId="43" xfId="0" applyFont="1" applyBorder="1" applyAlignment="1" applyProtection="1">
      <alignment horizontal="center" vertical="center" wrapText="1"/>
      <protection locked="0"/>
    </xf>
    <xf numFmtId="0" fontId="9" fillId="0" borderId="29" xfId="0" applyFont="1" applyBorder="1" applyAlignment="1" applyProtection="1">
      <alignment horizontal="center" vertical="center" wrapText="1"/>
      <protection locked="0"/>
    </xf>
    <xf numFmtId="0" fontId="9" fillId="0" borderId="47" xfId="0" applyFont="1" applyBorder="1" applyAlignment="1" applyProtection="1">
      <alignment horizontal="center" vertical="center" wrapText="1"/>
      <protection locked="0"/>
    </xf>
    <xf numFmtId="0" fontId="0" fillId="6" borderId="0" xfId="0" applyFill="1" applyAlignment="1">
      <alignment horizontal="center" vertical="center" wrapText="1"/>
    </xf>
    <xf numFmtId="0" fontId="9" fillId="0" borderId="56" xfId="0" applyFont="1" applyBorder="1" applyAlignment="1" applyProtection="1">
      <alignment horizontal="center" vertical="center" shrinkToFit="1"/>
      <protection locked="0"/>
    </xf>
    <xf numFmtId="0" fontId="9" fillId="0" borderId="57" xfId="0" applyFont="1" applyBorder="1" applyAlignment="1" applyProtection="1">
      <alignment horizontal="center" vertical="center" shrinkToFit="1"/>
      <protection locked="0"/>
    </xf>
    <xf numFmtId="0" fontId="9" fillId="0" borderId="48" xfId="0" applyFont="1" applyBorder="1" applyAlignment="1" applyProtection="1">
      <alignment horizontal="center" vertical="center" shrinkToFit="1"/>
      <protection locked="0"/>
    </xf>
    <xf numFmtId="0" fontId="9" fillId="0" borderId="56" xfId="0" applyFont="1" applyBorder="1" applyAlignment="1" applyProtection="1">
      <alignment horizontal="center" vertical="center" wrapText="1"/>
      <protection locked="0"/>
    </xf>
    <xf numFmtId="0" fontId="9" fillId="0" borderId="57" xfId="0" applyFont="1" applyBorder="1" applyAlignment="1" applyProtection="1">
      <alignment horizontal="center" vertical="center" wrapText="1"/>
      <protection locked="0"/>
    </xf>
    <xf numFmtId="0" fontId="9" fillId="0" borderId="48" xfId="0" applyFont="1" applyBorder="1" applyAlignment="1" applyProtection="1">
      <alignment horizontal="center" vertical="center" wrapText="1"/>
      <protection locked="0"/>
    </xf>
    <xf numFmtId="172" fontId="4" fillId="0" borderId="0" xfId="0" applyNumberFormat="1" applyFont="1" applyFill="1" applyAlignment="1" applyProtection="1">
      <alignment horizontal="center"/>
      <protection locked="0"/>
    </xf>
    <xf numFmtId="172" fontId="18" fillId="3" borderId="10" xfId="0" applyNumberFormat="1" applyFont="1" applyFill="1" applyBorder="1" applyAlignment="1" applyProtection="1">
      <alignment horizontal="center" wrapText="1"/>
    </xf>
    <xf numFmtId="172" fontId="18" fillId="3" borderId="8" xfId="0" applyNumberFormat="1" applyFont="1" applyFill="1" applyBorder="1" applyAlignment="1" applyProtection="1">
      <alignment horizontal="center" wrapText="1"/>
    </xf>
    <xf numFmtId="0" fontId="18" fillId="3" borderId="5" xfId="0" applyFont="1" applyFill="1" applyBorder="1" applyAlignment="1" applyProtection="1">
      <alignment horizontal="center" wrapText="1"/>
    </xf>
    <xf numFmtId="0" fontId="18" fillId="3" borderId="7" xfId="0" applyFont="1" applyFill="1" applyBorder="1" applyAlignment="1" applyProtection="1">
      <alignment horizontal="center" wrapText="1"/>
    </xf>
    <xf numFmtId="0" fontId="18" fillId="3" borderId="11" xfId="0" applyFont="1" applyFill="1" applyBorder="1" applyAlignment="1" applyProtection="1">
      <alignment wrapText="1"/>
    </xf>
    <xf numFmtId="0" fontId="18" fillId="3" borderId="9" xfId="0" applyFont="1" applyFill="1" applyBorder="1" applyAlignment="1" applyProtection="1">
      <alignment wrapText="1"/>
    </xf>
    <xf numFmtId="0" fontId="16" fillId="0" borderId="3" xfId="0" applyFont="1" applyBorder="1" applyAlignment="1" applyProtection="1">
      <alignment horizontal="left" vertical="top" wrapText="1"/>
      <protection locked="0"/>
    </xf>
    <xf numFmtId="0" fontId="16" fillId="0" borderId="39" xfId="0" applyNumberFormat="1" applyFont="1" applyBorder="1" applyAlignment="1" applyProtection="1">
      <alignment horizontal="left" wrapText="1"/>
      <protection locked="0"/>
    </xf>
    <xf numFmtId="0" fontId="16" fillId="0" borderId="40" xfId="0" applyNumberFormat="1" applyFont="1" applyBorder="1" applyAlignment="1" applyProtection="1">
      <alignment horizontal="left" wrapText="1"/>
      <protection locked="0"/>
    </xf>
    <xf numFmtId="0" fontId="16" fillId="0" borderId="57" xfId="0" applyNumberFormat="1" applyFont="1" applyBorder="1" applyAlignment="1" applyProtection="1">
      <alignment horizontal="left" wrapText="1"/>
      <protection locked="0"/>
    </xf>
    <xf numFmtId="0" fontId="16" fillId="0" borderId="5" xfId="0" applyNumberFormat="1" applyFont="1" applyBorder="1" applyAlignment="1" applyProtection="1">
      <alignment horizontal="left" wrapText="1"/>
      <protection locked="0"/>
    </xf>
    <xf numFmtId="0" fontId="16" fillId="0" borderId="11" xfId="0" applyNumberFormat="1" applyFont="1" applyBorder="1" applyAlignment="1" applyProtection="1">
      <alignment horizontal="left" wrapText="1"/>
      <protection locked="0"/>
    </xf>
    <xf numFmtId="0" fontId="18" fillId="3" borderId="6" xfId="0" applyFont="1" applyFill="1" applyBorder="1" applyAlignment="1">
      <alignment horizontal="left" vertical="center"/>
    </xf>
    <xf numFmtId="0" fontId="15" fillId="0" borderId="28" xfId="0" applyFont="1" applyBorder="1" applyAlignment="1" applyProtection="1">
      <alignment horizontal="right"/>
    </xf>
    <xf numFmtId="0" fontId="16" fillId="0" borderId="27" xfId="0" applyFont="1" applyBorder="1" applyAlignment="1" applyProtection="1">
      <alignment horizontal="center"/>
    </xf>
    <xf numFmtId="0" fontId="16" fillId="0" borderId="28" xfId="0" applyFont="1" applyBorder="1" applyAlignment="1" applyProtection="1">
      <alignment horizontal="center"/>
    </xf>
    <xf numFmtId="0" fontId="16" fillId="0" borderId="113" xfId="0" applyFont="1" applyBorder="1" applyAlignment="1" applyProtection="1">
      <alignment horizontal="center"/>
    </xf>
    <xf numFmtId="0" fontId="18" fillId="3" borderId="20" xfId="0" applyFont="1" applyFill="1" applyBorder="1" applyAlignment="1">
      <alignment horizontal="left"/>
    </xf>
    <xf numFmtId="0" fontId="36" fillId="3" borderId="5" xfId="0" applyFont="1" applyFill="1" applyBorder="1" applyAlignment="1" applyProtection="1">
      <alignment horizontal="center"/>
    </xf>
    <xf numFmtId="0" fontId="36" fillId="3" borderId="11" xfId="0" applyFont="1" applyFill="1" applyBorder="1" applyAlignment="1" applyProtection="1">
      <alignment horizontal="center"/>
    </xf>
    <xf numFmtId="0" fontId="16" fillId="0" borderId="103" xfId="0" applyFont="1" applyBorder="1" applyAlignment="1" applyProtection="1">
      <alignment horizontal="left" wrapText="1"/>
      <protection locked="0"/>
    </xf>
    <xf numFmtId="0" fontId="16" fillId="0" borderId="39" xfId="0" applyFont="1" applyBorder="1" applyAlignment="1" applyProtection="1">
      <alignment horizontal="left" wrapText="1"/>
      <protection locked="0"/>
    </xf>
    <xf numFmtId="0" fontId="16" fillId="0" borderId="104" xfId="0" applyFont="1" applyBorder="1" applyAlignment="1" applyProtection="1">
      <alignment horizontal="left" wrapText="1"/>
      <protection locked="0"/>
    </xf>
    <xf numFmtId="0" fontId="16" fillId="0" borderId="40" xfId="0" applyFont="1" applyBorder="1" applyAlignment="1" applyProtection="1">
      <alignment horizontal="left" wrapText="1"/>
      <protection locked="0"/>
    </xf>
    <xf numFmtId="0" fontId="16" fillId="0" borderId="75" xfId="0" applyNumberFormat="1" applyFont="1" applyBorder="1" applyAlignment="1" applyProtection="1">
      <alignment horizontal="left" wrapText="1"/>
      <protection locked="0"/>
    </xf>
    <xf numFmtId="0" fontId="16" fillId="0" borderId="76" xfId="0" applyNumberFormat="1" applyFont="1" applyBorder="1" applyAlignment="1" applyProtection="1">
      <alignment horizontal="left" wrapText="1"/>
      <protection locked="0"/>
    </xf>
    <xf numFmtId="0" fontId="16" fillId="0" borderId="106" xfId="0" applyFont="1" applyBorder="1" applyAlignment="1" applyProtection="1">
      <alignment horizontal="left" wrapText="1"/>
      <protection locked="0"/>
    </xf>
    <xf numFmtId="0" fontId="16" fillId="0" borderId="57" xfId="0" applyFont="1" applyBorder="1" applyAlignment="1" applyProtection="1">
      <alignment horizontal="left" wrapText="1"/>
      <protection locked="0"/>
    </xf>
    <xf numFmtId="0" fontId="16" fillId="0" borderId="31" xfId="0" applyFont="1" applyBorder="1" applyAlignment="1" applyProtection="1">
      <alignment horizontal="left" wrapText="1"/>
      <protection locked="0"/>
    </xf>
    <xf numFmtId="0" fontId="16" fillId="0" borderId="111" xfId="0" applyFont="1" applyBorder="1" applyAlignment="1" applyProtection="1">
      <alignment horizontal="left" wrapText="1"/>
      <protection locked="0"/>
    </xf>
    <xf numFmtId="0" fontId="16" fillId="0" borderId="109" xfId="0" applyFont="1" applyBorder="1" applyAlignment="1" applyProtection="1">
      <alignment horizontal="left" wrapText="1"/>
      <protection locked="0"/>
    </xf>
    <xf numFmtId="0" fontId="16" fillId="0" borderId="110" xfId="0" applyFont="1" applyBorder="1" applyAlignment="1" applyProtection="1">
      <alignment horizontal="left" wrapText="1"/>
      <protection locked="0"/>
    </xf>
    <xf numFmtId="0" fontId="16" fillId="0" borderId="112" xfId="0" applyFont="1" applyBorder="1" applyAlignment="1" applyProtection="1">
      <alignment horizontal="left" wrapText="1"/>
      <protection locked="0"/>
    </xf>
    <xf numFmtId="0" fontId="36" fillId="3" borderId="93" xfId="0" applyFont="1" applyFill="1" applyBorder="1" applyAlignment="1" applyProtection="1">
      <alignment horizontal="center"/>
    </xf>
    <xf numFmtId="0" fontId="36" fillId="3" borderId="99" xfId="0" applyFont="1" applyFill="1" applyBorder="1" applyAlignment="1" applyProtection="1">
      <alignment horizontal="center"/>
    </xf>
    <xf numFmtId="0" fontId="36" fillId="3" borderId="10" xfId="0" applyFont="1" applyFill="1" applyBorder="1" applyAlignment="1" applyProtection="1">
      <alignment horizontal="center"/>
    </xf>
    <xf numFmtId="0" fontId="16" fillId="0" borderId="101" xfId="0" applyFont="1" applyBorder="1" applyAlignment="1" applyProtection="1">
      <alignment horizontal="left" wrapText="1"/>
      <protection locked="0"/>
    </xf>
    <xf numFmtId="0" fontId="16" fillId="0" borderId="75" xfId="0" applyFont="1" applyBorder="1" applyAlignment="1" applyProtection="1">
      <alignment horizontal="left" wrapText="1"/>
      <protection locked="0"/>
    </xf>
    <xf numFmtId="0" fontId="16" fillId="0" borderId="102" xfId="0" applyFont="1" applyBorder="1" applyAlignment="1" applyProtection="1">
      <alignment horizontal="left" wrapText="1"/>
      <protection locked="0"/>
    </xf>
    <xf numFmtId="0" fontId="16" fillId="0" borderId="76" xfId="0" applyFont="1" applyBorder="1" applyAlignment="1" applyProtection="1">
      <alignment horizontal="left" wrapText="1"/>
      <protection locked="0"/>
    </xf>
    <xf numFmtId="164" fontId="16" fillId="0" borderId="0" xfId="0" applyNumberFormat="1" applyFont="1" applyBorder="1" applyAlignment="1" applyProtection="1">
      <alignment horizontal="left" vertical="center" wrapText="1"/>
      <protection locked="0"/>
    </xf>
    <xf numFmtId="164" fontId="16" fillId="0" borderId="17" xfId="0" applyNumberFormat="1" applyFont="1" applyBorder="1" applyAlignment="1" applyProtection="1">
      <alignment horizontal="left" vertical="center" wrapText="1"/>
      <protection locked="0"/>
    </xf>
    <xf numFmtId="0" fontId="16" fillId="0" borderId="17" xfId="0" applyFont="1" applyBorder="1" applyAlignment="1" applyProtection="1">
      <alignment horizontal="left" vertical="center" wrapText="1"/>
      <protection locked="0"/>
    </xf>
    <xf numFmtId="166" fontId="16" fillId="0" borderId="0" xfId="0" applyNumberFormat="1" applyFont="1" applyBorder="1" applyAlignment="1" applyProtection="1">
      <alignment horizontal="left" vertical="center" wrapText="1"/>
      <protection locked="0"/>
    </xf>
    <xf numFmtId="0" fontId="36" fillId="3" borderId="94" xfId="0" applyFont="1" applyFill="1" applyBorder="1" applyAlignment="1" applyProtection="1">
      <alignment horizontal="center"/>
    </xf>
    <xf numFmtId="0" fontId="36" fillId="3" borderId="95" xfId="0" applyFont="1" applyFill="1" applyBorder="1" applyAlignment="1" applyProtection="1">
      <alignment horizontal="center"/>
    </xf>
    <xf numFmtId="0" fontId="36" fillId="3" borderId="96" xfId="0" applyFont="1" applyFill="1" applyBorder="1" applyAlignment="1" applyProtection="1">
      <alignment horizontal="center"/>
    </xf>
    <xf numFmtId="0" fontId="36" fillId="3" borderId="97" xfId="0" applyFont="1" applyFill="1" applyBorder="1" applyAlignment="1" applyProtection="1">
      <alignment horizontal="center"/>
    </xf>
    <xf numFmtId="167" fontId="16" fillId="0" borderId="0" xfId="0" applyNumberFormat="1" applyFont="1" applyBorder="1" applyAlignment="1" applyProtection="1">
      <alignment horizontal="left" vertical="center" wrapText="1"/>
      <protection locked="0"/>
    </xf>
    <xf numFmtId="167" fontId="16" fillId="0" borderId="17" xfId="0" applyNumberFormat="1" applyFont="1" applyBorder="1" applyAlignment="1" applyProtection="1">
      <alignment horizontal="left" vertical="center" wrapText="1"/>
      <protection locked="0"/>
    </xf>
    <xf numFmtId="15" fontId="16" fillId="0" borderId="0" xfId="0" applyNumberFormat="1" applyFont="1" applyBorder="1" applyAlignment="1" applyProtection="1">
      <alignment horizontal="left" vertical="center" wrapText="1"/>
      <protection locked="0"/>
    </xf>
    <xf numFmtId="174" fontId="16" fillId="0" borderId="0" xfId="0" applyNumberFormat="1" applyFont="1" applyBorder="1" applyAlignment="1" applyProtection="1">
      <alignment horizontal="left" vertical="center" wrapText="1"/>
      <protection locked="0"/>
    </xf>
    <xf numFmtId="174" fontId="16" fillId="0" borderId="17" xfId="0" applyNumberFormat="1" applyFont="1" applyBorder="1" applyAlignment="1" applyProtection="1">
      <alignment horizontal="left" vertical="center" wrapText="1"/>
      <protection locked="0"/>
    </xf>
    <xf numFmtId="172" fontId="19" fillId="0" borderId="0" xfId="0" applyNumberFormat="1" applyFont="1" applyFill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center"/>
    </xf>
    <xf numFmtId="0" fontId="18" fillId="3" borderId="20" xfId="0" applyFont="1" applyFill="1" applyBorder="1" applyAlignment="1">
      <alignment horizontal="center" vertical="center"/>
    </xf>
    <xf numFmtId="0" fontId="18" fillId="3" borderId="90" xfId="0" applyFont="1" applyFill="1" applyBorder="1" applyAlignment="1">
      <alignment horizontal="center" vertical="center"/>
    </xf>
    <xf numFmtId="0" fontId="18" fillId="3" borderId="91" xfId="0" applyFont="1" applyFill="1" applyBorder="1" applyAlignment="1">
      <alignment horizontal="center" vertical="center"/>
    </xf>
    <xf numFmtId="0" fontId="36" fillId="0" borderId="0" xfId="0" applyFont="1" applyBorder="1" applyAlignment="1" applyProtection="1">
      <alignment horizontal="left" vertical="center" wrapText="1"/>
    </xf>
    <xf numFmtId="0" fontId="0" fillId="0" borderId="0" xfId="0" applyFont="1" applyBorder="1" applyAlignment="1" applyProtection="1">
      <alignment horizontal="center"/>
      <protection locked="0"/>
    </xf>
    <xf numFmtId="0" fontId="36" fillId="3" borderId="11" xfId="0" applyFont="1" applyFill="1" applyBorder="1" applyAlignment="1" applyProtection="1">
      <alignment horizontal="center" vertical="center" wrapText="1"/>
    </xf>
    <xf numFmtId="0" fontId="36" fillId="3" borderId="10" xfId="0" applyFont="1" applyFill="1" applyBorder="1" applyAlignment="1" applyProtection="1">
      <alignment horizontal="center" vertical="center" wrapText="1"/>
    </xf>
    <xf numFmtId="0" fontId="32" fillId="0" borderId="83" xfId="4" applyFont="1" applyBorder="1" applyAlignment="1" applyProtection="1">
      <alignment horizontal="left" vertical="top" wrapText="1"/>
      <protection locked="0"/>
    </xf>
    <xf numFmtId="0" fontId="37" fillId="0" borderId="83" xfId="4" applyFont="1" applyBorder="1" applyAlignment="1" applyProtection="1">
      <alignment horizontal="left" vertical="top" wrapText="1"/>
      <protection locked="0"/>
    </xf>
    <xf numFmtId="0" fontId="37" fillId="0" borderId="0" xfId="4" applyFont="1" applyBorder="1" applyAlignment="1" applyProtection="1">
      <alignment horizontal="left" vertical="top" wrapText="1"/>
      <protection locked="0"/>
    </xf>
    <xf numFmtId="0" fontId="37" fillId="0" borderId="84" xfId="4" applyFont="1" applyBorder="1" applyAlignment="1" applyProtection="1">
      <alignment horizontal="left" vertical="top" wrapText="1"/>
      <protection locked="0"/>
    </xf>
    <xf numFmtId="0" fontId="36" fillId="0" borderId="12" xfId="0" applyFont="1" applyBorder="1" applyAlignment="1" applyProtection="1">
      <alignment horizontal="left" vertical="center" wrapText="1"/>
    </xf>
    <xf numFmtId="0" fontId="0" fillId="0" borderId="12" xfId="0" applyFont="1" applyBorder="1" applyAlignment="1" applyProtection="1">
      <alignment horizontal="center"/>
      <protection locked="0"/>
    </xf>
    <xf numFmtId="164" fontId="16" fillId="0" borderId="41" xfId="0" applyNumberFormat="1" applyFont="1" applyBorder="1" applyAlignment="1" applyProtection="1">
      <alignment horizontal="left" vertical="center" wrapText="1"/>
      <protection locked="0"/>
    </xf>
    <xf numFmtId="164" fontId="16" fillId="0" borderId="46" xfId="0" applyNumberFormat="1" applyFont="1" applyBorder="1" applyAlignment="1" applyProtection="1">
      <alignment horizontal="left" vertical="center" wrapText="1"/>
      <protection locked="0"/>
    </xf>
    <xf numFmtId="0" fontId="36" fillId="3" borderId="86" xfId="0" applyFont="1" applyFill="1" applyBorder="1" applyAlignment="1" applyProtection="1">
      <alignment horizontal="center"/>
    </xf>
    <xf numFmtId="0" fontId="36" fillId="3" borderId="87" xfId="0" applyFont="1" applyFill="1" applyBorder="1" applyAlignment="1" applyProtection="1">
      <alignment horizontal="center"/>
    </xf>
    <xf numFmtId="164" fontId="16" fillId="0" borderId="88" xfId="0" applyNumberFormat="1" applyFont="1" applyBorder="1" applyAlignment="1" applyProtection="1">
      <alignment horizontal="left" vertical="center" wrapText="1"/>
      <protection locked="0"/>
    </xf>
    <xf numFmtId="164" fontId="16" fillId="0" borderId="89" xfId="0" applyNumberFormat="1" applyFont="1" applyBorder="1" applyAlignment="1" applyProtection="1">
      <alignment horizontal="left" vertical="center" wrapText="1"/>
      <protection locked="0"/>
    </xf>
  </cellXfs>
  <cellStyles count="63">
    <cellStyle name="20% - Accent1" xfId="23" builtinId="30" customBuiltin="1"/>
    <cellStyle name="20% - Accent2" xfId="27" builtinId="34" customBuiltin="1"/>
    <cellStyle name="20% - Accent3" xfId="31" builtinId="38" customBuiltin="1"/>
    <cellStyle name="20% - Accent4" xfId="35" builtinId="42" customBuiltin="1"/>
    <cellStyle name="20% - Accent5" xfId="39" builtinId="46" customBuiltin="1"/>
    <cellStyle name="20% - Accent6" xfId="43" builtinId="50" customBuiltin="1"/>
    <cellStyle name="40% - Accent1" xfId="24" builtinId="31" customBuiltin="1"/>
    <cellStyle name="40% - Accent2" xfId="28" builtinId="35" customBuiltin="1"/>
    <cellStyle name="40% - Accent3" xfId="32" builtinId="39" customBuiltin="1"/>
    <cellStyle name="40% - Accent4" xfId="36" builtinId="43" customBuiltin="1"/>
    <cellStyle name="40% - Accent5" xfId="40" builtinId="47" customBuiltin="1"/>
    <cellStyle name="40% - Accent6" xfId="44" builtinId="51" customBuiltin="1"/>
    <cellStyle name="60% - Accent1" xfId="25" builtinId="32" customBuiltin="1"/>
    <cellStyle name="60% - Accent1 2" xfId="48" xr:uid="{00000000-0005-0000-0000-00000D000000}"/>
    <cellStyle name="60% - Accent2" xfId="29" builtinId="36" customBuiltin="1"/>
    <cellStyle name="60% - Accent2 2" xfId="49" xr:uid="{00000000-0005-0000-0000-00000F000000}"/>
    <cellStyle name="60% - Accent3" xfId="33" builtinId="40" customBuiltin="1"/>
    <cellStyle name="60% - Accent3 2" xfId="50" xr:uid="{00000000-0005-0000-0000-000011000000}"/>
    <cellStyle name="60% - Accent4" xfId="37" builtinId="44" customBuiltin="1"/>
    <cellStyle name="60% - Accent4 2" xfId="51" xr:uid="{00000000-0005-0000-0000-000013000000}"/>
    <cellStyle name="60% - Accent5" xfId="41" builtinId="48" customBuiltin="1"/>
    <cellStyle name="60% - Accent5 2" xfId="52" xr:uid="{00000000-0005-0000-0000-000015000000}"/>
    <cellStyle name="60% - Accent6" xfId="45" builtinId="52" customBuiltin="1"/>
    <cellStyle name="60% - Accent6 2" xfId="53" xr:uid="{00000000-0005-0000-0000-000017000000}"/>
    <cellStyle name="Accent1" xfId="22" builtinId="29" customBuiltin="1"/>
    <cellStyle name="Accent2" xfId="26" builtinId="33" customBuiltin="1"/>
    <cellStyle name="Accent3" xfId="30" builtinId="37" customBuiltin="1"/>
    <cellStyle name="Accent4" xfId="34" builtinId="41" customBuiltin="1"/>
    <cellStyle name="Accent5" xfId="38" builtinId="45" customBuiltin="1"/>
    <cellStyle name="Accent6" xfId="42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Explanatory Text" xfId="20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eutral 2" xfId="54" xr:uid="{00000000-0005-0000-0000-00002A000000}"/>
    <cellStyle name="Normal" xfId="0" builtinId="0"/>
    <cellStyle name="Normal 15 3" xfId="55" xr:uid="{00000000-0005-0000-0000-00002C000000}"/>
    <cellStyle name="Normal 2" xfId="1" xr:uid="{00000000-0005-0000-0000-00002D000000}"/>
    <cellStyle name="Normal 2 2" xfId="56" xr:uid="{00000000-0005-0000-0000-00002E000000}"/>
    <cellStyle name="Normal 205" xfId="57" xr:uid="{00000000-0005-0000-0000-00002F000000}"/>
    <cellStyle name="Normal 3" xfId="4" xr:uid="{00000000-0005-0000-0000-000030000000}"/>
    <cellStyle name="Normal 3 2" xfId="58" xr:uid="{00000000-0005-0000-0000-000031000000}"/>
    <cellStyle name="Normal 4" xfId="47" xr:uid="{00000000-0005-0000-0000-000032000000}"/>
    <cellStyle name="Normal 5" xfId="46" xr:uid="{00000000-0005-0000-0000-000033000000}"/>
    <cellStyle name="Normal 6" xfId="62" xr:uid="{00000000-0005-0000-0000-000034000000}"/>
    <cellStyle name="Normal 6 2" xfId="2" xr:uid="{00000000-0005-0000-0000-000035000000}"/>
    <cellStyle name="Note 2" xfId="3" xr:uid="{00000000-0005-0000-0000-000036000000}"/>
    <cellStyle name="Note 2 2" xfId="59" xr:uid="{00000000-0005-0000-0000-000037000000}"/>
    <cellStyle name="Output" xfId="15" builtinId="21" customBuiltin="1"/>
    <cellStyle name="Percent" xfId="5" builtinId="5"/>
    <cellStyle name="Style 1" xfId="60" xr:uid="{00000000-0005-0000-0000-00003A000000}"/>
    <cellStyle name="Title" xfId="6" builtinId="15" customBuiltin="1"/>
    <cellStyle name="Title 2" xfId="61" xr:uid="{00000000-0005-0000-0000-00003C000000}"/>
    <cellStyle name="Total" xfId="21" builtinId="25" customBuiltin="1"/>
    <cellStyle name="Warning Text" xfId="19" builtinId="11" customBuiltin="1"/>
  </cellStyles>
  <dxfs count="1057">
    <dxf>
      <font>
        <condense val="0"/>
        <extend val="0"/>
        <color indexed="9"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ACACA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71004B"/>
      <color rgb="FFD7D8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29308</xdr:colOff>
      <xdr:row>0</xdr:row>
      <xdr:rowOff>58615</xdr:rowOff>
    </xdr:from>
    <xdr:to>
      <xdr:col>9</xdr:col>
      <xdr:colOff>596985</xdr:colOff>
      <xdr:row>0</xdr:row>
      <xdr:rowOff>285750</xdr:rowOff>
    </xdr:to>
    <xdr:pic macro="[0]!UnProtectAllOffice"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6020" y="58615"/>
          <a:ext cx="567677" cy="2271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21</xdr:row>
          <xdr:rowOff>31750</xdr:rowOff>
        </xdr:from>
        <xdr:to>
          <xdr:col>8</xdr:col>
          <xdr:colOff>571500</xdr:colOff>
          <xdr:row>21</xdr:row>
          <xdr:rowOff>184150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Leg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21</xdr:row>
          <xdr:rowOff>31750</xdr:rowOff>
        </xdr:from>
        <xdr:to>
          <xdr:col>9</xdr:col>
          <xdr:colOff>584200</xdr:colOff>
          <xdr:row>21</xdr:row>
          <xdr:rowOff>184150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76</xdr:row>
          <xdr:rowOff>31750</xdr:rowOff>
        </xdr:from>
        <xdr:to>
          <xdr:col>9</xdr:col>
          <xdr:colOff>0</xdr:colOff>
          <xdr:row>76</xdr:row>
          <xdr:rowOff>184150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0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Sample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76</xdr:row>
          <xdr:rowOff>31750</xdr:rowOff>
        </xdr:from>
        <xdr:to>
          <xdr:col>9</xdr:col>
          <xdr:colOff>590550</xdr:colOff>
          <xdr:row>76</xdr:row>
          <xdr:rowOff>184150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0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82</xdr:row>
          <xdr:rowOff>31750</xdr:rowOff>
        </xdr:from>
        <xdr:to>
          <xdr:col>9</xdr:col>
          <xdr:colOff>0</xdr:colOff>
          <xdr:row>82</xdr:row>
          <xdr:rowOff>184150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0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Add Gas Det.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82</xdr:row>
          <xdr:rowOff>38100</xdr:rowOff>
        </xdr:from>
        <xdr:to>
          <xdr:col>9</xdr:col>
          <xdr:colOff>590550</xdr:colOff>
          <xdr:row>82</xdr:row>
          <xdr:rowOff>184150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0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88</xdr:row>
          <xdr:rowOff>31750</xdr:rowOff>
        </xdr:from>
        <xdr:to>
          <xdr:col>9</xdr:col>
          <xdr:colOff>0</xdr:colOff>
          <xdr:row>88</xdr:row>
          <xdr:rowOff>184150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0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3366FF"/>
                  </a:solidFill>
                  <a:latin typeface="Arial"/>
                  <a:cs typeface="Arial"/>
                </a:rPr>
                <a:t>Add Logging Suite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</xdr:colOff>
          <xdr:row>88</xdr:row>
          <xdr:rowOff>31750</xdr:rowOff>
        </xdr:from>
        <xdr:to>
          <xdr:col>10</xdr:col>
          <xdr:colOff>0</xdr:colOff>
          <xdr:row>88</xdr:row>
          <xdr:rowOff>184150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0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94</xdr:row>
          <xdr:rowOff>31750</xdr:rowOff>
        </xdr:from>
        <xdr:to>
          <xdr:col>9</xdr:col>
          <xdr:colOff>0</xdr:colOff>
          <xdr:row>94</xdr:row>
          <xdr:rowOff>184150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0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Add Core Interval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</xdr:colOff>
          <xdr:row>94</xdr:row>
          <xdr:rowOff>31750</xdr:rowOff>
        </xdr:from>
        <xdr:to>
          <xdr:col>9</xdr:col>
          <xdr:colOff>603250</xdr:colOff>
          <xdr:row>94</xdr:row>
          <xdr:rowOff>184150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0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65</xdr:row>
          <xdr:rowOff>19050</xdr:rowOff>
        </xdr:from>
        <xdr:to>
          <xdr:col>9</xdr:col>
          <xdr:colOff>0</xdr:colOff>
          <xdr:row>65</xdr:row>
          <xdr:rowOff>184150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0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7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Expand Intermediate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65</xdr:row>
          <xdr:rowOff>12700</xdr:rowOff>
        </xdr:from>
        <xdr:to>
          <xdr:col>10</xdr:col>
          <xdr:colOff>12700</xdr:colOff>
          <xdr:row>65</xdr:row>
          <xdr:rowOff>171450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0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Collapse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31750</xdr:colOff>
          <xdr:row>46</xdr:row>
          <xdr:rowOff>12700</xdr:rowOff>
        </xdr:from>
        <xdr:to>
          <xdr:col>9</xdr:col>
          <xdr:colOff>12700</xdr:colOff>
          <xdr:row>46</xdr:row>
          <xdr:rowOff>171450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0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TD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46</xdr:row>
          <xdr:rowOff>12700</xdr:rowOff>
        </xdr:from>
        <xdr:to>
          <xdr:col>9</xdr:col>
          <xdr:colOff>590550</xdr:colOff>
          <xdr:row>46</xdr:row>
          <xdr:rowOff>171450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0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Hide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6</xdr:row>
          <xdr:rowOff>12700</xdr:rowOff>
        </xdr:from>
        <xdr:to>
          <xdr:col>15</xdr:col>
          <xdr:colOff>514350</xdr:colOff>
          <xdr:row>9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4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INSERT NEW </a:t>
              </a:r>
            </a:p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TARGET &amp; LATERAL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1</xdr:row>
          <xdr:rowOff>50800</xdr:rowOff>
        </xdr:from>
        <xdr:to>
          <xdr:col>15</xdr:col>
          <xdr:colOff>508000</xdr:colOff>
          <xdr:row>2</xdr:row>
          <xdr:rowOff>114300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4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CLICK TO INSERT ROW </a:t>
              </a:r>
            </a:p>
            <a:p>
              <a:pPr algn="ctr" rtl="0">
                <a:defRPr sz="1000"/>
              </a:pPr>
              <a:r>
                <a:rPr lang="en-CA" sz="8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(will insert above current curser placement)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2</xdr:row>
          <xdr:rowOff>152400</xdr:rowOff>
        </xdr:from>
        <xdr:to>
          <xdr:col>15</xdr:col>
          <xdr:colOff>514350</xdr:colOff>
          <xdr:row>4</xdr:row>
          <xdr:rowOff>133350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4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CLICK TO DELETE ROW </a:t>
              </a:r>
            </a:p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(will delete at current curser placement)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4</xdr:row>
          <xdr:rowOff>0</xdr:rowOff>
        </xdr:from>
        <xdr:to>
          <xdr:col>15</xdr:col>
          <xdr:colOff>514350</xdr:colOff>
          <xdr:row>6</xdr:row>
          <xdr:rowOff>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5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INSERT NEW </a:t>
              </a:r>
            </a:p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TARGET &amp; LATERAL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0</xdr:row>
          <xdr:rowOff>50800</xdr:rowOff>
        </xdr:from>
        <xdr:to>
          <xdr:col>15</xdr:col>
          <xdr:colOff>508000</xdr:colOff>
          <xdr:row>1</xdr:row>
          <xdr:rowOff>114300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05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CLICK TO INSERT ROW </a:t>
              </a:r>
            </a:p>
            <a:p>
              <a:pPr algn="ctr" rtl="0">
                <a:defRPr sz="1000"/>
              </a:pPr>
              <a:r>
                <a:rPr lang="en-CA" sz="8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(will insert above current curser placement)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</xdr:row>
          <xdr:rowOff>152400</xdr:rowOff>
        </xdr:from>
        <xdr:to>
          <xdr:col>15</xdr:col>
          <xdr:colOff>514350</xdr:colOff>
          <xdr:row>3</xdr:row>
          <xdr:rowOff>133350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0500-00000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CLICK TO DELETE ROW </a:t>
              </a:r>
            </a:p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(will delete at current curser placement)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5</xdr:row>
          <xdr:rowOff>12700</xdr:rowOff>
        </xdr:from>
        <xdr:to>
          <xdr:col>15</xdr:col>
          <xdr:colOff>514350</xdr:colOff>
          <xdr:row>8</xdr:row>
          <xdr:rowOff>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6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INSERT NEW </a:t>
              </a:r>
            </a:p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TARGET &amp; LATERAL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0</xdr:row>
          <xdr:rowOff>50800</xdr:rowOff>
        </xdr:from>
        <xdr:to>
          <xdr:col>15</xdr:col>
          <xdr:colOff>508000</xdr:colOff>
          <xdr:row>1</xdr:row>
          <xdr:rowOff>114300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6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CLICK TO INSERT ROW </a:t>
              </a:r>
            </a:p>
            <a:p>
              <a:pPr algn="ctr" rtl="0">
                <a:defRPr sz="1000"/>
              </a:pPr>
              <a:r>
                <a:rPr lang="en-CA" sz="8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(will insert above current curser placement)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</xdr:row>
          <xdr:rowOff>152400</xdr:rowOff>
        </xdr:from>
        <xdr:to>
          <xdr:col>15</xdr:col>
          <xdr:colOff>514350</xdr:colOff>
          <xdr:row>3</xdr:row>
          <xdr:rowOff>133350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6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CLICK TO DELETE ROW </a:t>
              </a:r>
            </a:p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(will delete at current curser placement)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5</xdr:row>
          <xdr:rowOff>12700</xdr:rowOff>
        </xdr:from>
        <xdr:to>
          <xdr:col>15</xdr:col>
          <xdr:colOff>514350</xdr:colOff>
          <xdr:row>8</xdr:row>
          <xdr:rowOff>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7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INSERT NEW </a:t>
              </a:r>
            </a:p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TARGET &amp; LATERAL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0</xdr:row>
          <xdr:rowOff>50800</xdr:rowOff>
        </xdr:from>
        <xdr:to>
          <xdr:col>15</xdr:col>
          <xdr:colOff>508000</xdr:colOff>
          <xdr:row>1</xdr:row>
          <xdr:rowOff>114300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7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CLICK TO INSERT ROW </a:t>
              </a:r>
            </a:p>
            <a:p>
              <a:pPr algn="ctr" rtl="0">
                <a:defRPr sz="1000"/>
              </a:pPr>
              <a:r>
                <a:rPr lang="en-CA" sz="8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(will insert above current curser placement)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</xdr:row>
          <xdr:rowOff>152400</xdr:rowOff>
        </xdr:from>
        <xdr:to>
          <xdr:col>15</xdr:col>
          <xdr:colOff>514350</xdr:colOff>
          <xdr:row>3</xdr:row>
          <xdr:rowOff>133350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7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CLICK TO DELETE ROW </a:t>
              </a:r>
            </a:p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(will delete at current curser placement)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5</xdr:row>
          <xdr:rowOff>12700</xdr:rowOff>
        </xdr:from>
        <xdr:to>
          <xdr:col>15</xdr:col>
          <xdr:colOff>514350</xdr:colOff>
          <xdr:row>8</xdr:row>
          <xdr:rowOff>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8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INSERT NEW </a:t>
              </a:r>
            </a:p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TARGET &amp; LATERAL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0</xdr:row>
          <xdr:rowOff>50800</xdr:rowOff>
        </xdr:from>
        <xdr:to>
          <xdr:col>15</xdr:col>
          <xdr:colOff>508000</xdr:colOff>
          <xdr:row>1</xdr:row>
          <xdr:rowOff>114300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8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CLICK TO INSERT ROW </a:t>
              </a:r>
            </a:p>
            <a:p>
              <a:pPr algn="ctr" rtl="0">
                <a:defRPr sz="1000"/>
              </a:pPr>
              <a:r>
                <a:rPr lang="en-CA" sz="8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(will insert above current curser placement)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</xdr:row>
          <xdr:rowOff>152400</xdr:rowOff>
        </xdr:from>
        <xdr:to>
          <xdr:col>15</xdr:col>
          <xdr:colOff>514350</xdr:colOff>
          <xdr:row>3</xdr:row>
          <xdr:rowOff>133350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8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CLICK TO DELETE ROW </a:t>
              </a:r>
            </a:p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(will delete at current curser placement)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5</xdr:row>
          <xdr:rowOff>12700</xdr:rowOff>
        </xdr:from>
        <xdr:to>
          <xdr:col>15</xdr:col>
          <xdr:colOff>514350</xdr:colOff>
          <xdr:row>8</xdr:row>
          <xdr:rowOff>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9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INSERT NEW </a:t>
              </a:r>
            </a:p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TARGET &amp; LATERAL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0</xdr:row>
          <xdr:rowOff>50800</xdr:rowOff>
        </xdr:from>
        <xdr:to>
          <xdr:col>15</xdr:col>
          <xdr:colOff>508000</xdr:colOff>
          <xdr:row>1</xdr:row>
          <xdr:rowOff>114300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9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CLICK TO INSERT ROW </a:t>
              </a:r>
            </a:p>
            <a:p>
              <a:pPr algn="ctr" rtl="0">
                <a:defRPr sz="1000"/>
              </a:pPr>
              <a:r>
                <a:rPr lang="en-CA" sz="8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(will insert above current curser placement)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</xdr:row>
          <xdr:rowOff>152400</xdr:rowOff>
        </xdr:from>
        <xdr:to>
          <xdr:col>15</xdr:col>
          <xdr:colOff>514350</xdr:colOff>
          <xdr:row>3</xdr:row>
          <xdr:rowOff>133350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9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CLICK TO DELETE ROW </a:t>
              </a:r>
            </a:p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(will delete at current curser placement)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4</xdr:row>
          <xdr:rowOff>0</xdr:rowOff>
        </xdr:from>
        <xdr:to>
          <xdr:col>10</xdr:col>
          <xdr:colOff>12700</xdr:colOff>
          <xdr:row>4</xdr:row>
          <xdr:rowOff>152400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A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Delete Errors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5</xdr:row>
          <xdr:rowOff>12700</xdr:rowOff>
        </xdr:from>
        <xdr:to>
          <xdr:col>15</xdr:col>
          <xdr:colOff>514350</xdr:colOff>
          <xdr:row>8</xdr:row>
          <xdr:rowOff>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C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INSERT NEW </a:t>
              </a:r>
            </a:p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TARGET &amp; LATERAL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0</xdr:row>
          <xdr:rowOff>50800</xdr:rowOff>
        </xdr:from>
        <xdr:to>
          <xdr:col>15</xdr:col>
          <xdr:colOff>508000</xdr:colOff>
          <xdr:row>1</xdr:row>
          <xdr:rowOff>114300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0C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CLICK TO INSERT ROW </a:t>
              </a:r>
            </a:p>
            <a:p>
              <a:pPr algn="ctr" rtl="0">
                <a:defRPr sz="1000"/>
              </a:pPr>
              <a:r>
                <a:rPr lang="en-CA" sz="8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(will insert above current curser placement)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</xdr:row>
          <xdr:rowOff>152400</xdr:rowOff>
        </xdr:from>
        <xdr:to>
          <xdr:col>15</xdr:col>
          <xdr:colOff>514350</xdr:colOff>
          <xdr:row>3</xdr:row>
          <xdr:rowOff>133350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0C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CLICK TO DELETE ROW </a:t>
              </a:r>
            </a:p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(will delete at current curser placement)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5</xdr:row>
          <xdr:rowOff>12700</xdr:rowOff>
        </xdr:from>
        <xdr:to>
          <xdr:col>15</xdr:col>
          <xdr:colOff>514350</xdr:colOff>
          <xdr:row>8</xdr:row>
          <xdr:rowOff>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D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INSERT NEW </a:t>
              </a:r>
            </a:p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TARGET &amp; LATERAL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0</xdr:row>
          <xdr:rowOff>50800</xdr:rowOff>
        </xdr:from>
        <xdr:to>
          <xdr:col>15</xdr:col>
          <xdr:colOff>508000</xdr:colOff>
          <xdr:row>1</xdr:row>
          <xdr:rowOff>114300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D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CLICK TO INSERT ROW </a:t>
              </a:r>
            </a:p>
            <a:p>
              <a:pPr algn="ctr" rtl="0">
                <a:defRPr sz="1000"/>
              </a:pPr>
              <a:r>
                <a:rPr lang="en-CA" sz="8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(will insert above current curser placement)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</xdr:row>
          <xdr:rowOff>152400</xdr:rowOff>
        </xdr:from>
        <xdr:to>
          <xdr:col>15</xdr:col>
          <xdr:colOff>514350</xdr:colOff>
          <xdr:row>3</xdr:row>
          <xdr:rowOff>133350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D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CLICK TO DELETE ROW </a:t>
              </a:r>
            </a:p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(will delete at current curser placement)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5</xdr:row>
          <xdr:rowOff>12700</xdr:rowOff>
        </xdr:from>
        <xdr:to>
          <xdr:col>15</xdr:col>
          <xdr:colOff>514350</xdr:colOff>
          <xdr:row>8</xdr:row>
          <xdr:rowOff>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E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INSERT NEW </a:t>
              </a:r>
            </a:p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TARGET &amp; LATERAL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0</xdr:row>
          <xdr:rowOff>50800</xdr:rowOff>
        </xdr:from>
        <xdr:to>
          <xdr:col>15</xdr:col>
          <xdr:colOff>508000</xdr:colOff>
          <xdr:row>1</xdr:row>
          <xdr:rowOff>114300</xdr:rowOff>
        </xdr:to>
        <xdr:sp macro="" textlink="">
          <xdr:nvSpPr>
            <xdr:cNvPr id="78850" name="Button 2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0E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CLICK TO INSERT ROW </a:t>
              </a:r>
            </a:p>
            <a:p>
              <a:pPr algn="ctr" rtl="0">
                <a:defRPr sz="1000"/>
              </a:pPr>
              <a:r>
                <a:rPr lang="en-CA" sz="8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(will insert above current curser placement)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</xdr:row>
          <xdr:rowOff>152400</xdr:rowOff>
        </xdr:from>
        <xdr:to>
          <xdr:col>15</xdr:col>
          <xdr:colOff>514350</xdr:colOff>
          <xdr:row>3</xdr:row>
          <xdr:rowOff>133350</xdr:rowOff>
        </xdr:to>
        <xdr:sp macro="" textlink="">
          <xdr:nvSpPr>
            <xdr:cNvPr id="78851" name="Button 3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0E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CLICK TO DELETE ROW </a:t>
              </a:r>
            </a:p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(will delete at current curser placement)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5</xdr:row>
          <xdr:rowOff>12700</xdr:rowOff>
        </xdr:from>
        <xdr:to>
          <xdr:col>15</xdr:col>
          <xdr:colOff>514350</xdr:colOff>
          <xdr:row>8</xdr:row>
          <xdr:rowOff>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0F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INSERT NEW </a:t>
              </a:r>
            </a:p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TARGET &amp; LATERAL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50800</xdr:colOff>
          <xdr:row>0</xdr:row>
          <xdr:rowOff>50800</xdr:rowOff>
        </xdr:from>
        <xdr:to>
          <xdr:col>15</xdr:col>
          <xdr:colOff>508000</xdr:colOff>
          <xdr:row>1</xdr:row>
          <xdr:rowOff>114300</xdr:rowOff>
        </xdr:to>
        <xdr:sp macro="" textlink="">
          <xdr:nvSpPr>
            <xdr:cNvPr id="79874" name="Button 2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0F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CLICK TO INSERT ROW </a:t>
              </a:r>
            </a:p>
            <a:p>
              <a:pPr algn="ctr" rtl="0">
                <a:defRPr sz="1000"/>
              </a:pPr>
              <a:r>
                <a:rPr lang="en-CA" sz="8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(will insert above current curser placement)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</xdr:row>
          <xdr:rowOff>152400</xdr:rowOff>
        </xdr:from>
        <xdr:to>
          <xdr:col>15</xdr:col>
          <xdr:colOff>514350</xdr:colOff>
          <xdr:row>3</xdr:row>
          <xdr:rowOff>133350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F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CLICK TO DELETE ROW </a:t>
              </a:r>
            </a:p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FF9900"/>
                  </a:solidFill>
                  <a:latin typeface="Arial"/>
                  <a:cs typeface="Arial"/>
                </a:rPr>
                <a:t>(will delete at current curser placement)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4</xdr:row>
          <xdr:rowOff>38100</xdr:rowOff>
        </xdr:from>
        <xdr:to>
          <xdr:col>12</xdr:col>
          <xdr:colOff>514350</xdr:colOff>
          <xdr:row>7</xdr:row>
          <xdr:rowOff>19050</xdr:rowOff>
        </xdr:to>
        <xdr:sp macro="" textlink="">
          <xdr:nvSpPr>
            <xdr:cNvPr id="93186" name="Button 2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11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ADD NEW LOGGING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t/AppData/Local/Microsoft/Windows/INetCache/Content.Outlook/DCF3CG4M/MWD%20Survey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t/AppData/Local/Microsoft/Windows/INetCache/Content.Outlook/DCF3CG4M/RPS%20GEOFORMS-New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01-20_4-20%20survey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nde/Desktop/Template/WL_xxxxxx-xxx-xx-xx-xxx-xxWx-00_GeoformEarli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!SUR1 (2)"/>
      <sheetName val="Sheet1"/>
      <sheetName val="MWD Surv"/>
    </sheetNames>
    <sheetDataSet>
      <sheetData sheetId="0"/>
      <sheetData sheetId="1"/>
      <sheetData sheetId="2">
        <row r="5">
          <cell r="F5">
            <v>245.34</v>
          </cell>
          <cell r="J5">
            <v>14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_Lists"/>
      <sheetName val="Well Data"/>
      <sheetName val="Tops"/>
      <sheetName val="Tops (dev)"/>
      <sheetName val="Tops (Hz)"/>
      <sheetName val="C Surv"/>
      <sheetName val="BIT "/>
      <sheetName val="BIT  (2)"/>
      <sheetName val="Daily"/>
      <sheetName val="Drilling Curve"/>
      <sheetName val="LOG"/>
      <sheetName val="DST"/>
      <sheetName val="Morn "/>
      <sheetName val="Morn 1"/>
      <sheetName val="Contractor Timesheet"/>
      <sheetName val="Employee Timesheet"/>
      <sheetName val="Title Page"/>
      <sheetName val="Table of Contents"/>
    </sheetNames>
    <sheetDataSet>
      <sheetData sheetId="0">
        <row r="2">
          <cell r="A2" t="str">
            <v xml:space="preserve">Alida Beds </v>
          </cell>
        </row>
        <row r="3">
          <cell r="A3" t="str">
            <v xml:space="preserve">Amaranth </v>
          </cell>
        </row>
        <row r="4">
          <cell r="A4" t="str">
            <v xml:space="preserve">Amco </v>
          </cell>
        </row>
        <row r="5">
          <cell r="A5" t="str">
            <v xml:space="preserve">Arcs  </v>
          </cell>
        </row>
        <row r="6">
          <cell r="A6" t="str">
            <v xml:space="preserve">Arctomys </v>
          </cell>
        </row>
        <row r="7">
          <cell r="A7" t="str">
            <v xml:space="preserve">Ardley Coal Seam </v>
          </cell>
        </row>
        <row r="8">
          <cell r="A8" t="str">
            <v xml:space="preserve">Artex </v>
          </cell>
        </row>
        <row r="9">
          <cell r="A9" t="str">
            <v xml:space="preserve">Ashern  </v>
          </cell>
        </row>
        <row r="10">
          <cell r="A10" t="str">
            <v xml:space="preserve">Babcock  </v>
          </cell>
        </row>
        <row r="11">
          <cell r="A11" t="str">
            <v xml:space="preserve">Bad Heart  </v>
          </cell>
        </row>
        <row r="12">
          <cell r="A12" t="str">
            <v xml:space="preserve">Badshot </v>
          </cell>
        </row>
        <row r="13">
          <cell r="A13" t="str">
            <v xml:space="preserve">Bakken </v>
          </cell>
        </row>
        <row r="14">
          <cell r="A14" t="str">
            <v xml:space="preserve">Baldonnel  </v>
          </cell>
        </row>
        <row r="15">
          <cell r="A15" t="str">
            <v xml:space="preserve">Banff  </v>
          </cell>
        </row>
        <row r="16">
          <cell r="A16" t="str">
            <v xml:space="preserve">Bantry   </v>
          </cell>
        </row>
        <row r="17">
          <cell r="A17" t="str">
            <v xml:space="preserve">Barons Sand </v>
          </cell>
        </row>
        <row r="18">
          <cell r="A18" t="str">
            <v xml:space="preserve">Basal Colorado Sand </v>
          </cell>
        </row>
        <row r="19">
          <cell r="A19" t="str">
            <v xml:space="preserve">Basal Quartz </v>
          </cell>
        </row>
        <row r="20">
          <cell r="A20" t="str">
            <v xml:space="preserve">Bearpaw Formation, Montana </v>
          </cell>
        </row>
        <row r="21">
          <cell r="A21" t="str">
            <v xml:space="preserve">Beaverhill Lake  </v>
          </cell>
        </row>
        <row r="22">
          <cell r="A22" t="str">
            <v xml:space="preserve">Beechy  </v>
          </cell>
        </row>
        <row r="23">
          <cell r="A23" t="str">
            <v xml:space="preserve">Beechy Halite </v>
          </cell>
        </row>
        <row r="24">
          <cell r="A24" t="str">
            <v xml:space="preserve">Belcourt  </v>
          </cell>
        </row>
        <row r="25">
          <cell r="A25" t="str">
            <v xml:space="preserve">Belle Fourche   </v>
          </cell>
        </row>
        <row r="26">
          <cell r="A26" t="str">
            <v xml:space="preserve">Belle Plaine  </v>
          </cell>
        </row>
        <row r="27">
          <cell r="A27" t="str">
            <v xml:space="preserve">Belloy  </v>
          </cell>
        </row>
        <row r="28">
          <cell r="A28" t="str">
            <v xml:space="preserve">Belly River  </v>
          </cell>
        </row>
        <row r="29">
          <cell r="A29" t="str">
            <v xml:space="preserve">Big Valley </v>
          </cell>
        </row>
        <row r="30">
          <cell r="A30" t="str">
            <v xml:space="preserve">Bigoray  </v>
          </cell>
        </row>
        <row r="31">
          <cell r="A31" t="str">
            <v xml:space="preserve">Birdbear  </v>
          </cell>
        </row>
        <row r="32">
          <cell r="A32" t="str">
            <v xml:space="preserve">Bistcho </v>
          </cell>
        </row>
        <row r="33">
          <cell r="A33" t="str">
            <v>Black Chert</v>
          </cell>
        </row>
        <row r="34">
          <cell r="A34" t="str">
            <v xml:space="preserve">Blackstone  </v>
          </cell>
        </row>
        <row r="35">
          <cell r="A35" t="str">
            <v xml:space="preserve">Blairmore  </v>
          </cell>
        </row>
        <row r="36">
          <cell r="A36" t="str">
            <v xml:space="preserve">Blood Reserve </v>
          </cell>
        </row>
        <row r="37">
          <cell r="A37" t="str">
            <v xml:space="preserve">Blue Ridge </v>
          </cell>
        </row>
        <row r="38">
          <cell r="A38" t="str">
            <v xml:space="preserve">Blueberry  </v>
          </cell>
        </row>
        <row r="39">
          <cell r="A39" t="str">
            <v xml:space="preserve">Bluesky </v>
          </cell>
        </row>
        <row r="40">
          <cell r="A40" t="str">
            <v xml:space="preserve">Boundary  </v>
          </cell>
        </row>
        <row r="41">
          <cell r="A41" t="str">
            <v xml:space="preserve">Bow Island  </v>
          </cell>
        </row>
        <row r="42">
          <cell r="A42" t="str">
            <v xml:space="preserve">Brazeau </v>
          </cell>
        </row>
        <row r="43">
          <cell r="A43" t="str">
            <v xml:space="preserve">Brown Lime </v>
          </cell>
        </row>
        <row r="44">
          <cell r="A44" t="str">
            <v xml:space="preserve">Buckinghorse  </v>
          </cell>
        </row>
        <row r="45">
          <cell r="A45" t="str">
            <v xml:space="preserve">Buick Creek Sand </v>
          </cell>
        </row>
        <row r="46">
          <cell r="A46" t="str">
            <v xml:space="preserve">Bullhead </v>
          </cell>
        </row>
        <row r="47">
          <cell r="A47" t="str">
            <v xml:space="preserve">Cadomin  </v>
          </cell>
        </row>
        <row r="48">
          <cell r="A48" t="str">
            <v xml:space="preserve">Cadotte  </v>
          </cell>
        </row>
        <row r="49">
          <cell r="A49" t="str">
            <v xml:space="preserve">Cairn  </v>
          </cell>
        </row>
        <row r="50">
          <cell r="A50" t="str">
            <v xml:space="preserve">Calmar  </v>
          </cell>
        </row>
        <row r="51">
          <cell r="A51" t="str">
            <v xml:space="preserve">Camrose  </v>
          </cell>
        </row>
        <row r="52">
          <cell r="A52" t="str">
            <v xml:space="preserve">Cantuar </v>
          </cell>
        </row>
        <row r="53">
          <cell r="A53" t="str">
            <v xml:space="preserve">Cardinal  </v>
          </cell>
        </row>
        <row r="54">
          <cell r="A54" t="str">
            <v xml:space="preserve">Cardinal Lake  </v>
          </cell>
        </row>
        <row r="55">
          <cell r="A55" t="str">
            <v xml:space="preserve">Cardium  </v>
          </cell>
        </row>
        <row r="56">
          <cell r="A56" t="str">
            <v xml:space="preserve">Cardium Zone  </v>
          </cell>
        </row>
        <row r="57">
          <cell r="A57" t="str">
            <v xml:space="preserve">Carievale Evaporite  </v>
          </cell>
        </row>
        <row r="58">
          <cell r="A58" t="str">
            <v xml:space="preserve">Carlile  </v>
          </cell>
        </row>
        <row r="59">
          <cell r="A59" t="str">
            <v xml:space="preserve">Carnarvon  </v>
          </cell>
        </row>
        <row r="60">
          <cell r="A60" t="str">
            <v xml:space="preserve">Carrot Creek  </v>
          </cell>
        </row>
        <row r="61">
          <cell r="A61" t="str">
            <v xml:space="preserve">Cat Head  </v>
          </cell>
        </row>
        <row r="62">
          <cell r="A62" t="str">
            <v xml:space="preserve">Cathedral </v>
          </cell>
        </row>
        <row r="63">
          <cell r="A63" t="str">
            <v xml:space="preserve">Cecil  </v>
          </cell>
        </row>
        <row r="64">
          <cell r="A64" t="str">
            <v xml:space="preserve">Cessford Sand </v>
          </cell>
        </row>
        <row r="65">
          <cell r="A65" t="str">
            <v xml:space="preserve">Charlie Lake  </v>
          </cell>
        </row>
        <row r="66">
          <cell r="A66" t="str">
            <v xml:space="preserve">Chinchaga </v>
          </cell>
        </row>
        <row r="67">
          <cell r="A67" t="str">
            <v>Chinook</v>
          </cell>
        </row>
        <row r="68">
          <cell r="A68" t="str">
            <v xml:space="preserve">Chischa </v>
          </cell>
        </row>
        <row r="69">
          <cell r="A69" t="str">
            <v xml:space="preserve">Christina  </v>
          </cell>
        </row>
        <row r="70">
          <cell r="A70" t="str">
            <v xml:space="preserve">Chungo  </v>
          </cell>
        </row>
        <row r="71">
          <cell r="A71" t="str">
            <v xml:space="preserve">Clarke’s </v>
          </cell>
        </row>
        <row r="72">
          <cell r="A72" t="str">
            <v xml:space="preserve">Clearwater  </v>
          </cell>
        </row>
        <row r="73">
          <cell r="A73" t="str">
            <v xml:space="preserve">Colony Sand  </v>
          </cell>
        </row>
        <row r="74">
          <cell r="A74" t="str">
            <v xml:space="preserve">Colorado </v>
          </cell>
        </row>
        <row r="75">
          <cell r="A75" t="str">
            <v xml:space="preserve">Commotion </v>
          </cell>
        </row>
        <row r="76">
          <cell r="A76" t="str">
            <v xml:space="preserve">Contact Rapids </v>
          </cell>
        </row>
        <row r="77">
          <cell r="A77" t="str">
            <v xml:space="preserve">Cooking Lake  </v>
          </cell>
        </row>
        <row r="78">
          <cell r="A78" t="str">
            <v xml:space="preserve">Coplin  </v>
          </cell>
        </row>
        <row r="79">
          <cell r="A79" t="str">
            <v xml:space="preserve">Coronach  </v>
          </cell>
        </row>
        <row r="80">
          <cell r="A80" t="str">
            <v xml:space="preserve">Costigan  </v>
          </cell>
        </row>
        <row r="81">
          <cell r="A81" t="str">
            <v xml:space="preserve">Crossfield  </v>
          </cell>
        </row>
        <row r="82">
          <cell r="A82" t="str">
            <v xml:space="preserve">Crossfield Till </v>
          </cell>
        </row>
        <row r="83">
          <cell r="A83" t="str">
            <v xml:space="preserve">Cruiser </v>
          </cell>
        </row>
        <row r="84">
          <cell r="A84" t="str">
            <v xml:space="preserve">Crystal Clinobed </v>
          </cell>
        </row>
        <row r="85">
          <cell r="A85" t="str">
            <v xml:space="preserve">Cummings  </v>
          </cell>
        </row>
        <row r="86">
          <cell r="A86" t="str">
            <v xml:space="preserve">Cut Bank </v>
          </cell>
        </row>
        <row r="87">
          <cell r="A87" t="str">
            <v xml:space="preserve">Cutbank  </v>
          </cell>
        </row>
        <row r="88">
          <cell r="A88" t="str">
            <v>D-2 (Nisku Formation)</v>
          </cell>
        </row>
        <row r="89">
          <cell r="A89" t="str">
            <v>D-3 (Leduc Formation)</v>
          </cell>
        </row>
        <row r="90">
          <cell r="A90" t="str">
            <v xml:space="preserve">Dawson Bay  </v>
          </cell>
        </row>
        <row r="91">
          <cell r="A91" t="str">
            <v xml:space="preserve">Deadwood </v>
          </cell>
        </row>
        <row r="92">
          <cell r="A92" t="str">
            <v xml:space="preserve">Debolt </v>
          </cell>
        </row>
        <row r="93">
          <cell r="A93" t="str">
            <v>Del Bonita Gravels</v>
          </cell>
        </row>
        <row r="94">
          <cell r="A94" t="str">
            <v xml:space="preserve">Detrital  Beds </v>
          </cell>
        </row>
        <row r="95">
          <cell r="A95" t="str">
            <v xml:space="preserve">Deville  </v>
          </cell>
        </row>
        <row r="96">
          <cell r="A96" t="str">
            <v xml:space="preserve">Diaber  </v>
          </cell>
        </row>
        <row r="97">
          <cell r="A97" t="str">
            <v xml:space="preserve">Dina  </v>
          </cell>
        </row>
        <row r="98">
          <cell r="A98" t="str">
            <v xml:space="preserve">Dismal Rat </v>
          </cell>
        </row>
        <row r="99">
          <cell r="A99" t="str">
            <v xml:space="preserve">Dixonville  </v>
          </cell>
        </row>
        <row r="100">
          <cell r="A100" t="str">
            <v xml:space="preserve">Doe Creek </v>
          </cell>
        </row>
        <row r="101">
          <cell r="A101" t="str">
            <v xml:space="preserve">Doig </v>
          </cell>
        </row>
        <row r="102">
          <cell r="A102" t="str">
            <v xml:space="preserve">Dunedin </v>
          </cell>
        </row>
        <row r="103">
          <cell r="A103" t="str">
            <v>Dunlevy</v>
          </cell>
        </row>
        <row r="104">
          <cell r="A104" t="str">
            <v xml:space="preserve">Dunvegan </v>
          </cell>
        </row>
        <row r="105">
          <cell r="A105" t="str">
            <v xml:space="preserve">Duperow </v>
          </cell>
        </row>
        <row r="106">
          <cell r="A106" t="str">
            <v xml:space="preserve">Duvenay </v>
          </cell>
        </row>
        <row r="107">
          <cell r="A107" t="str">
            <v xml:space="preserve">Earlie </v>
          </cell>
        </row>
        <row r="108">
          <cell r="A108" t="str">
            <v xml:space="preserve">Edmonton  </v>
          </cell>
        </row>
        <row r="109">
          <cell r="A109" t="str">
            <v xml:space="preserve">Eldon  </v>
          </cell>
        </row>
        <row r="110">
          <cell r="A110" t="str">
            <v xml:space="preserve">Elk Point </v>
          </cell>
        </row>
        <row r="111">
          <cell r="A111" t="str">
            <v xml:space="preserve">Elko </v>
          </cell>
        </row>
        <row r="112">
          <cell r="A112" t="str">
            <v xml:space="preserve">Elkton  </v>
          </cell>
        </row>
        <row r="113">
          <cell r="A113" t="str">
            <v xml:space="preserve">Ellerslie  </v>
          </cell>
        </row>
        <row r="114">
          <cell r="A114" t="str">
            <v xml:space="preserve">Ellis </v>
          </cell>
        </row>
        <row r="115">
          <cell r="A115" t="str">
            <v xml:space="preserve">Ernestina Lake </v>
          </cell>
        </row>
        <row r="116">
          <cell r="A116" t="str">
            <v xml:space="preserve">Esterhazy  </v>
          </cell>
        </row>
        <row r="117">
          <cell r="A117" t="str">
            <v xml:space="preserve">Etherington  </v>
          </cell>
        </row>
        <row r="118">
          <cell r="A118" t="str">
            <v xml:space="preserve">Exshaw </v>
          </cell>
        </row>
        <row r="119">
          <cell r="A119" t="str">
            <v xml:space="preserve">Fairholme </v>
          </cell>
        </row>
        <row r="120">
          <cell r="A120" t="str">
            <v xml:space="preserve">Falher  </v>
          </cell>
        </row>
        <row r="121">
          <cell r="A121" t="str">
            <v xml:space="preserve">Fantasque </v>
          </cell>
        </row>
        <row r="122">
          <cell r="A122" t="str">
            <v xml:space="preserve">Fernie  </v>
          </cell>
        </row>
        <row r="123">
          <cell r="A123" t="str">
            <v xml:space="preserve">Finnegan </v>
          </cell>
        </row>
        <row r="124">
          <cell r="A124" t="str">
            <v xml:space="preserve">Firebag  </v>
          </cell>
        </row>
        <row r="125">
          <cell r="A125" t="str">
            <v xml:space="preserve">First Red Beds </v>
          </cell>
        </row>
        <row r="126">
          <cell r="A126" t="str">
            <v xml:space="preserve">First White Speckled </v>
          </cell>
        </row>
        <row r="127">
          <cell r="A127" t="str">
            <v xml:space="preserve">Foremost </v>
          </cell>
        </row>
        <row r="128">
          <cell r="A128" t="str">
            <v xml:space="preserve">Fort Simpson </v>
          </cell>
        </row>
        <row r="129">
          <cell r="A129" t="str">
            <v xml:space="preserve">Fort St. John </v>
          </cell>
        </row>
        <row r="130">
          <cell r="A130" t="str">
            <v xml:space="preserve">Fort Vermilion  </v>
          </cell>
        </row>
        <row r="131">
          <cell r="A131" t="str">
            <v xml:space="preserve">Frobisher Beds </v>
          </cell>
        </row>
        <row r="132">
          <cell r="A132" t="str">
            <v xml:space="preserve">Frobisher Evaporite </v>
          </cell>
        </row>
        <row r="133">
          <cell r="A133" t="str">
            <v>Frobisher-Alida Beds</v>
          </cell>
        </row>
        <row r="134">
          <cell r="A134" t="str">
            <v xml:space="preserve">Garbutt  </v>
          </cell>
        </row>
        <row r="135">
          <cell r="A135" t="str">
            <v xml:space="preserve">Gething  </v>
          </cell>
        </row>
        <row r="136">
          <cell r="A136" t="str">
            <v xml:space="preserve">Gilwood  </v>
          </cell>
        </row>
        <row r="137">
          <cell r="A137" t="str">
            <v xml:space="preserve">Gladstone  </v>
          </cell>
        </row>
        <row r="138">
          <cell r="A138" t="str">
            <v xml:space="preserve">Glauconitic </v>
          </cell>
        </row>
        <row r="139">
          <cell r="A139" t="str">
            <v xml:space="preserve">Gog  </v>
          </cell>
        </row>
        <row r="140">
          <cell r="A140" t="str">
            <v xml:space="preserve">Golata </v>
          </cell>
        </row>
        <row r="141">
          <cell r="A141" t="str">
            <v xml:space="preserve">Graminia  </v>
          </cell>
        </row>
        <row r="142">
          <cell r="A142" t="str">
            <v>Granite Wash</v>
          </cell>
        </row>
        <row r="143">
          <cell r="A143" t="str">
            <v xml:space="preserve">Gravelbourg </v>
          </cell>
        </row>
        <row r="144">
          <cell r="A144" t="str">
            <v>Grayling</v>
          </cell>
        </row>
        <row r="145">
          <cell r="A145" t="str">
            <v xml:space="preserve">Green Beds </v>
          </cell>
        </row>
        <row r="146">
          <cell r="A146" t="str">
            <v xml:space="preserve">Grey Beds </v>
          </cell>
        </row>
        <row r="147">
          <cell r="A147" t="str">
            <v xml:space="preserve">Grosmont  </v>
          </cell>
        </row>
        <row r="148">
          <cell r="A148" t="str">
            <v xml:space="preserve">Halfway </v>
          </cell>
        </row>
        <row r="149">
          <cell r="A149" t="str">
            <v>Hamilton Lake Sand</v>
          </cell>
        </row>
        <row r="150">
          <cell r="A150" t="str">
            <v xml:space="preserve">Harmon </v>
          </cell>
        </row>
        <row r="151">
          <cell r="A151" t="str">
            <v xml:space="preserve">Hastings Evaporite </v>
          </cell>
        </row>
        <row r="152">
          <cell r="A152" t="str">
            <v>Hastings-Frobisher Beds</v>
          </cell>
        </row>
        <row r="153">
          <cell r="A153" t="str">
            <v xml:space="preserve">Hay River </v>
          </cell>
        </row>
        <row r="154">
          <cell r="A154" t="str">
            <v>Hecla Beds</v>
          </cell>
        </row>
        <row r="155">
          <cell r="A155" t="str">
            <v>Heel and Toe</v>
          </cell>
        </row>
        <row r="156">
          <cell r="A156" t="str">
            <v xml:space="preserve">Herald  </v>
          </cell>
        </row>
        <row r="157">
          <cell r="A157" t="str">
            <v xml:space="preserve">Highwood  </v>
          </cell>
        </row>
        <row r="158">
          <cell r="A158" t="str">
            <v xml:space="preserve">Hondo  </v>
          </cell>
        </row>
        <row r="159">
          <cell r="A159" t="str">
            <v>Hoosier Clinobed</v>
          </cell>
        </row>
        <row r="160">
          <cell r="A160" t="str">
            <v>Horizontal Toe</v>
          </cell>
        </row>
        <row r="161">
          <cell r="A161" t="str">
            <v xml:space="preserve">Horn River </v>
          </cell>
        </row>
        <row r="162">
          <cell r="A162" t="str">
            <v xml:space="preserve">Hornbeck  </v>
          </cell>
        </row>
        <row r="163">
          <cell r="A163" t="str">
            <v xml:space="preserve">Horseshoe Canyon  </v>
          </cell>
        </row>
        <row r="164">
          <cell r="A164" t="str">
            <v xml:space="preserve">Inga  </v>
          </cell>
        </row>
        <row r="165">
          <cell r="A165" t="str">
            <v>Intermediate Casing Point</v>
          </cell>
        </row>
        <row r="166">
          <cell r="A166" t="str">
            <v xml:space="preserve">Ireton  </v>
          </cell>
        </row>
        <row r="167">
          <cell r="A167" t="str">
            <v xml:space="preserve">Jean Marie  </v>
          </cell>
        </row>
        <row r="168">
          <cell r="A168" t="str">
            <v xml:space="preserve">Joli Fou  </v>
          </cell>
        </row>
        <row r="169">
          <cell r="A169" t="str">
            <v xml:space="preserve">Judith River </v>
          </cell>
        </row>
        <row r="170">
          <cell r="A170" t="str">
            <v xml:space="preserve">Jumping Pound  </v>
          </cell>
        </row>
        <row r="171">
          <cell r="A171" t="str">
            <v xml:space="preserve">Kakisa </v>
          </cell>
        </row>
        <row r="172">
          <cell r="A172" t="str">
            <v xml:space="preserve">Kakwa  </v>
          </cell>
        </row>
        <row r="173">
          <cell r="A173" t="str">
            <v xml:space="preserve">Karr  </v>
          </cell>
        </row>
        <row r="174">
          <cell r="A174" t="str">
            <v xml:space="preserve">Kaskapau  </v>
          </cell>
        </row>
        <row r="175">
          <cell r="A175" t="str">
            <v xml:space="preserve">Keg River  </v>
          </cell>
        </row>
        <row r="176">
          <cell r="A176" t="str">
            <v xml:space="preserve">Kevin  </v>
          </cell>
        </row>
        <row r="177">
          <cell r="A177" t="str">
            <v>Kickoff Point</v>
          </cell>
        </row>
        <row r="178">
          <cell r="A178" t="str">
            <v xml:space="preserve">Kintla  </v>
          </cell>
        </row>
        <row r="179">
          <cell r="A179" t="str">
            <v xml:space="preserve">Kisbey </v>
          </cell>
        </row>
        <row r="180">
          <cell r="A180" t="str">
            <v>Kiskatinaw</v>
          </cell>
        </row>
        <row r="181">
          <cell r="A181" t="str">
            <v xml:space="preserve">Klua </v>
          </cell>
        </row>
        <row r="182">
          <cell r="A182" t="str">
            <v xml:space="preserve">Kneehills Tuft </v>
          </cell>
        </row>
        <row r="183">
          <cell r="A183" t="str">
            <v xml:space="preserve">Kootenai </v>
          </cell>
        </row>
        <row r="184">
          <cell r="A184" t="str">
            <v xml:space="preserve">Kootenay </v>
          </cell>
        </row>
        <row r="185">
          <cell r="A185" t="str">
            <v xml:space="preserve">Kotaneelee </v>
          </cell>
        </row>
        <row r="186">
          <cell r="A186" t="str">
            <v xml:space="preserve">Kotcho </v>
          </cell>
        </row>
        <row r="187">
          <cell r="A187" t="str">
            <v xml:space="preserve">Labiche </v>
          </cell>
        </row>
        <row r="188">
          <cell r="A188" t="str">
            <v xml:space="preserve">Lake Alma  </v>
          </cell>
        </row>
        <row r="189">
          <cell r="A189" t="str">
            <v xml:space="preserve">Lea Park </v>
          </cell>
        </row>
        <row r="190">
          <cell r="A190" t="str">
            <v xml:space="preserve">Leduc  </v>
          </cell>
        </row>
        <row r="191">
          <cell r="A191" t="str">
            <v xml:space="preserve">Liard  </v>
          </cell>
        </row>
        <row r="192">
          <cell r="A192" t="str">
            <v>Lloydminster</v>
          </cell>
        </row>
        <row r="193">
          <cell r="A193" t="str">
            <v xml:space="preserve">Lobstick  </v>
          </cell>
        </row>
        <row r="194">
          <cell r="A194" t="str">
            <v>Lochend Till</v>
          </cell>
        </row>
        <row r="195">
          <cell r="A195" t="str">
            <v xml:space="preserve">Lodgepole  </v>
          </cell>
        </row>
        <row r="196">
          <cell r="A196" t="str">
            <v xml:space="preserve">Lotsberg  </v>
          </cell>
        </row>
        <row r="197">
          <cell r="A197" t="str">
            <v>Lower Porous</v>
          </cell>
        </row>
        <row r="198">
          <cell r="A198" t="str">
            <v xml:space="preserve">Lyleton  </v>
          </cell>
        </row>
        <row r="199">
          <cell r="A199" t="str">
            <v xml:space="preserve">Lynx  </v>
          </cell>
        </row>
        <row r="200">
          <cell r="A200" t="str">
            <v xml:space="preserve">Madison </v>
          </cell>
        </row>
        <row r="201">
          <cell r="A201" t="str">
            <v xml:space="preserve">Magrath  </v>
          </cell>
        </row>
        <row r="202">
          <cell r="A202" t="str">
            <v xml:space="preserve">Majeau Lake  </v>
          </cell>
        </row>
        <row r="203">
          <cell r="A203" t="str">
            <v xml:space="preserve">Mannville </v>
          </cell>
        </row>
        <row r="204">
          <cell r="A204" t="str">
            <v xml:space="preserve">Manyberries  </v>
          </cell>
        </row>
        <row r="205">
          <cell r="A205" t="str">
            <v xml:space="preserve">Mattson </v>
          </cell>
        </row>
        <row r="206">
          <cell r="A206" t="str">
            <v xml:space="preserve">McLaren  </v>
          </cell>
        </row>
        <row r="207">
          <cell r="A207" t="str">
            <v xml:space="preserve">McMurray  </v>
          </cell>
        </row>
        <row r="208">
          <cell r="A208" t="str">
            <v xml:space="preserve">Medicine Hat </v>
          </cell>
        </row>
        <row r="209">
          <cell r="A209" t="str">
            <v xml:space="preserve">Medicine Lodge  </v>
          </cell>
        </row>
        <row r="210">
          <cell r="A210" t="str">
            <v xml:space="preserve">Meekwap  </v>
          </cell>
        </row>
        <row r="211">
          <cell r="A211" t="str">
            <v xml:space="preserve">Melita </v>
          </cell>
        </row>
        <row r="212">
          <cell r="A212" t="str">
            <v>Midale Beds</v>
          </cell>
        </row>
        <row r="213">
          <cell r="A213" t="str">
            <v xml:space="preserve">Midale Evaporite </v>
          </cell>
        </row>
        <row r="214">
          <cell r="A214" t="str">
            <v>Middle Dense</v>
          </cell>
        </row>
        <row r="215">
          <cell r="A215" t="str">
            <v xml:space="preserve">Miette  </v>
          </cell>
        </row>
        <row r="216">
          <cell r="A216" t="str">
            <v xml:space="preserve">Mildred  </v>
          </cell>
        </row>
        <row r="217">
          <cell r="A217" t="str">
            <v xml:space="preserve">Milk River </v>
          </cell>
        </row>
        <row r="218">
          <cell r="A218" t="str">
            <v xml:space="preserve">Misinchinka </v>
          </cell>
        </row>
        <row r="219">
          <cell r="A219" t="str">
            <v xml:space="preserve">Mission Canyon  </v>
          </cell>
        </row>
        <row r="220">
          <cell r="A220" t="str">
            <v xml:space="preserve">Montana </v>
          </cell>
        </row>
        <row r="221">
          <cell r="A221" t="str">
            <v xml:space="preserve">Monteith  </v>
          </cell>
        </row>
        <row r="222">
          <cell r="A222" t="str">
            <v xml:space="preserve">Montney </v>
          </cell>
        </row>
        <row r="223">
          <cell r="A223" t="str">
            <v xml:space="preserve">Moosebar  </v>
          </cell>
        </row>
        <row r="224">
          <cell r="A224" t="str">
            <v xml:space="preserve">Moulton </v>
          </cell>
        </row>
        <row r="225">
          <cell r="A225" t="str">
            <v xml:space="preserve">Mount Head </v>
          </cell>
        </row>
        <row r="226">
          <cell r="A226" t="str">
            <v xml:space="preserve">Mountain Park </v>
          </cell>
        </row>
        <row r="227">
          <cell r="A227" t="str">
            <v xml:space="preserve">Mowitch </v>
          </cell>
        </row>
        <row r="228">
          <cell r="A228" t="str">
            <v xml:space="preserve">Muskeg </v>
          </cell>
        </row>
        <row r="229">
          <cell r="A229" t="str">
            <v xml:space="preserve">Muskiki  </v>
          </cell>
        </row>
        <row r="230">
          <cell r="A230" t="str">
            <v xml:space="preserve">Muskwa </v>
          </cell>
        </row>
        <row r="231">
          <cell r="A231" t="str">
            <v xml:space="preserve">Musreau  </v>
          </cell>
        </row>
        <row r="232">
          <cell r="A232" t="str">
            <v xml:space="preserve">Nahanni </v>
          </cell>
        </row>
        <row r="233">
          <cell r="A233" t="str">
            <v xml:space="preserve">Nancy  </v>
          </cell>
        </row>
        <row r="234">
          <cell r="A234" t="str">
            <v xml:space="preserve">Nicol Creek  </v>
          </cell>
        </row>
        <row r="235">
          <cell r="A235" t="str">
            <v xml:space="preserve">Nikanassin </v>
          </cell>
        </row>
        <row r="236">
          <cell r="A236" t="str">
            <v xml:space="preserve">Nisku  </v>
          </cell>
        </row>
        <row r="237">
          <cell r="A237" t="str">
            <v xml:space="preserve">Nordegg  </v>
          </cell>
        </row>
        <row r="238">
          <cell r="A238" t="str">
            <v xml:space="preserve">Normandville  </v>
          </cell>
        </row>
        <row r="239">
          <cell r="A239" t="str">
            <v xml:space="preserve">North Pine  </v>
          </cell>
        </row>
        <row r="240">
          <cell r="A240" t="str">
            <v xml:space="preserve">Nosehill  </v>
          </cell>
        </row>
        <row r="241">
          <cell r="A241" t="str">
            <v xml:space="preserve">Notikewin  </v>
          </cell>
        </row>
        <row r="242">
          <cell r="A242" t="str">
            <v xml:space="preserve">Oldman </v>
          </cell>
        </row>
        <row r="243">
          <cell r="A243" t="str">
            <v xml:space="preserve">Opabin  </v>
          </cell>
        </row>
        <row r="244">
          <cell r="A244" t="str">
            <v xml:space="preserve">Ostracod Beds </v>
          </cell>
        </row>
        <row r="245">
          <cell r="A245" t="str">
            <v xml:space="preserve">Otter Park  </v>
          </cell>
        </row>
        <row r="246">
          <cell r="A246" t="str">
            <v xml:space="preserve">Paddy  </v>
          </cell>
        </row>
        <row r="247">
          <cell r="A247" t="str">
            <v xml:space="preserve">Pakowki </v>
          </cell>
        </row>
        <row r="248">
          <cell r="A248" t="str">
            <v>Pakowki Drift</v>
          </cell>
        </row>
        <row r="249">
          <cell r="A249" t="str">
            <v xml:space="preserve">Palliser </v>
          </cell>
        </row>
        <row r="250">
          <cell r="A250" t="str">
            <v>Paper Shale</v>
          </cell>
        </row>
        <row r="251">
          <cell r="A251" t="str">
            <v xml:space="preserve">Pardonet  </v>
          </cell>
        </row>
        <row r="252">
          <cell r="A252" t="str">
            <v xml:space="preserve">Passage Beds </v>
          </cell>
        </row>
        <row r="253">
          <cell r="A253" t="str">
            <v xml:space="preserve">Peace River  </v>
          </cell>
        </row>
        <row r="254">
          <cell r="A254" t="str">
            <v xml:space="preserve">Peechee  </v>
          </cell>
        </row>
        <row r="255">
          <cell r="A255" t="str">
            <v xml:space="preserve">Pekisko  </v>
          </cell>
        </row>
        <row r="256">
          <cell r="A256" t="str">
            <v xml:space="preserve">Pelican  </v>
          </cell>
        </row>
        <row r="257">
          <cell r="A257" t="str">
            <v xml:space="preserve">Pembina River  </v>
          </cell>
        </row>
        <row r="258">
          <cell r="A258" t="str">
            <v xml:space="preserve">Pine Point  </v>
          </cell>
        </row>
        <row r="259">
          <cell r="A259" t="str">
            <v xml:space="preserve">Poker Chip  </v>
          </cell>
        </row>
        <row r="260">
          <cell r="A260" t="str">
            <v xml:space="preserve">Potlatch  </v>
          </cell>
        </row>
        <row r="261">
          <cell r="A261" t="str">
            <v xml:space="preserve">Pouce Coupe </v>
          </cell>
        </row>
        <row r="262">
          <cell r="A262" t="str">
            <v xml:space="preserve">Prairie Evaporite </v>
          </cell>
        </row>
        <row r="263">
          <cell r="A263" t="str">
            <v xml:space="preserve">Presqu’ile </v>
          </cell>
        </row>
        <row r="264">
          <cell r="A264" t="str">
            <v xml:space="preserve">Provost </v>
          </cell>
        </row>
        <row r="265">
          <cell r="A265" t="str">
            <v xml:space="preserve">Puskwaskau  </v>
          </cell>
        </row>
        <row r="266">
          <cell r="A266" t="str">
            <v xml:space="preserve">Quaternary </v>
          </cell>
        </row>
        <row r="267">
          <cell r="A267" t="str">
            <v xml:space="preserve">Queensdale Lime </v>
          </cell>
        </row>
        <row r="268">
          <cell r="A268" t="str">
            <v xml:space="preserve">Rainbow  </v>
          </cell>
        </row>
        <row r="269">
          <cell r="A269" t="str">
            <v xml:space="preserve">Ram  </v>
          </cell>
        </row>
        <row r="270">
          <cell r="A270" t="str">
            <v>Ratcliffe Beds</v>
          </cell>
        </row>
        <row r="271">
          <cell r="A271" t="str">
            <v xml:space="preserve">Ratner  </v>
          </cell>
        </row>
        <row r="272">
          <cell r="A272" t="str">
            <v xml:space="preserve">Raven River  </v>
          </cell>
        </row>
        <row r="273">
          <cell r="A273" t="str">
            <v xml:space="preserve">Ravenscrag </v>
          </cell>
        </row>
        <row r="274">
          <cell r="A274" t="str">
            <v xml:space="preserve">Red River  </v>
          </cell>
        </row>
        <row r="275">
          <cell r="A275" t="str">
            <v xml:space="preserve">Red Speck Zone </v>
          </cell>
        </row>
        <row r="276">
          <cell r="A276" t="str">
            <v xml:space="preserve">Redknife  </v>
          </cell>
        </row>
        <row r="277">
          <cell r="A277" t="str">
            <v xml:space="preserve">Reston </v>
          </cell>
        </row>
        <row r="278">
          <cell r="A278" t="str">
            <v xml:space="preserve">Rex Sand </v>
          </cell>
        </row>
        <row r="279">
          <cell r="A279" t="str">
            <v xml:space="preserve">Ribbon Creek  </v>
          </cell>
        </row>
        <row r="280">
          <cell r="A280" t="str">
            <v xml:space="preserve">Ribstone Creek  </v>
          </cell>
        </row>
        <row r="281">
          <cell r="A281" t="str">
            <v xml:space="preserve">Ricinus  </v>
          </cell>
        </row>
        <row r="282">
          <cell r="A282" t="str">
            <v xml:space="preserve">Rierdon  </v>
          </cell>
        </row>
        <row r="283">
          <cell r="A283" t="str">
            <v xml:space="preserve">Rock Creek  </v>
          </cell>
        </row>
        <row r="284">
          <cell r="A284" t="str">
            <v xml:space="preserve">Roseray </v>
          </cell>
        </row>
        <row r="285">
          <cell r="A285" t="str">
            <v xml:space="preserve">Rosevear </v>
          </cell>
        </row>
        <row r="286">
          <cell r="A286" t="str">
            <v xml:space="preserve">Rundle </v>
          </cell>
        </row>
        <row r="287">
          <cell r="A287" t="str">
            <v xml:space="preserve">Saddle Hills </v>
          </cell>
        </row>
        <row r="288">
          <cell r="A288" t="str">
            <v xml:space="preserve">Salter  </v>
          </cell>
        </row>
        <row r="289">
          <cell r="A289" t="str">
            <v xml:space="preserve">Sassenach </v>
          </cell>
        </row>
        <row r="290">
          <cell r="A290" t="str">
            <v>Sawridge</v>
          </cell>
        </row>
        <row r="291">
          <cell r="A291" t="str">
            <v xml:space="preserve">Sawtooth  </v>
          </cell>
        </row>
        <row r="292">
          <cell r="A292" t="str">
            <v xml:space="preserve">Scatter  </v>
          </cell>
        </row>
        <row r="293">
          <cell r="A293" t="str">
            <v xml:space="preserve">Schooler Creek </v>
          </cell>
        </row>
        <row r="294">
          <cell r="A294" t="str">
            <v xml:space="preserve">Scollard </v>
          </cell>
        </row>
        <row r="295">
          <cell r="A295" t="str">
            <v xml:space="preserve">Second Red Bed </v>
          </cell>
        </row>
        <row r="296">
          <cell r="A296" t="str">
            <v xml:space="preserve">Second White Speckled  </v>
          </cell>
        </row>
        <row r="297">
          <cell r="A297" t="str">
            <v xml:space="preserve">Second White Specks </v>
          </cell>
        </row>
        <row r="298">
          <cell r="A298" t="str">
            <v xml:space="preserve">Selkirk  </v>
          </cell>
        </row>
        <row r="299">
          <cell r="A299" t="str">
            <v xml:space="preserve">Septimus  </v>
          </cell>
        </row>
        <row r="300">
          <cell r="A300" t="str">
            <v xml:space="preserve">Shaftesbury  </v>
          </cell>
        </row>
        <row r="301">
          <cell r="A301" t="str">
            <v xml:space="preserve">Shaunavon </v>
          </cell>
        </row>
        <row r="302">
          <cell r="A302" t="str">
            <v xml:space="preserve">Shunda  </v>
          </cell>
        </row>
        <row r="303">
          <cell r="A303" t="str">
            <v>Sidetrack Leg #1</v>
          </cell>
        </row>
        <row r="304">
          <cell r="A304" t="str">
            <v>Sidetrack Leg #2</v>
          </cell>
        </row>
        <row r="305">
          <cell r="A305" t="str">
            <v>Sidetrack Leg #3</v>
          </cell>
        </row>
        <row r="306">
          <cell r="A306" t="str">
            <v>Sidetrack Leg #4</v>
          </cell>
        </row>
        <row r="307">
          <cell r="A307" t="str">
            <v xml:space="preserve">Sikanni  </v>
          </cell>
        </row>
        <row r="308">
          <cell r="A308" t="str">
            <v xml:space="preserve">Simla </v>
          </cell>
        </row>
        <row r="309">
          <cell r="A309" t="str">
            <v>Sinclair</v>
          </cell>
        </row>
        <row r="310">
          <cell r="A310" t="str">
            <v xml:space="preserve">Siphon  </v>
          </cell>
        </row>
        <row r="311">
          <cell r="A311" t="str">
            <v xml:space="preserve">Slave Point </v>
          </cell>
        </row>
        <row r="312">
          <cell r="A312" t="str">
            <v xml:space="preserve">Souris River  </v>
          </cell>
        </row>
        <row r="313">
          <cell r="A313" t="str">
            <v xml:space="preserve">Souris Valley Beds </v>
          </cell>
        </row>
        <row r="314">
          <cell r="A314" t="str">
            <v xml:space="preserve">Southesk  </v>
          </cell>
        </row>
        <row r="315">
          <cell r="A315" t="str">
            <v xml:space="preserve">Sparky Sand </v>
          </cell>
        </row>
        <row r="316">
          <cell r="A316" t="str">
            <v xml:space="preserve">Spearfish </v>
          </cell>
        </row>
        <row r="317">
          <cell r="A317" t="str">
            <v xml:space="preserve">Spinney Hill </v>
          </cell>
        </row>
        <row r="318">
          <cell r="A318" t="str">
            <v xml:space="preserve">Spirit River  </v>
          </cell>
        </row>
        <row r="319">
          <cell r="A319" t="str">
            <v xml:space="preserve">Springburn  </v>
          </cell>
        </row>
        <row r="320">
          <cell r="A320" t="str">
            <v xml:space="preserve">St. Mary River </v>
          </cell>
        </row>
        <row r="321">
          <cell r="A321" t="str">
            <v xml:space="preserve">St. Walburg </v>
          </cell>
        </row>
        <row r="322">
          <cell r="A322" t="str">
            <v>Steen River</v>
          </cell>
        </row>
        <row r="323">
          <cell r="A323" t="str">
            <v xml:space="preserve">Stoddart </v>
          </cell>
        </row>
        <row r="324">
          <cell r="A324" t="str">
            <v xml:space="preserve">Stonewall </v>
          </cell>
        </row>
        <row r="325">
          <cell r="A325" t="str">
            <v xml:space="preserve">Stony Mountain  </v>
          </cell>
        </row>
        <row r="326">
          <cell r="A326" t="str">
            <v xml:space="preserve">Stoughton  </v>
          </cell>
        </row>
        <row r="327">
          <cell r="A327" t="str">
            <v xml:space="preserve">Sunburst  </v>
          </cell>
        </row>
        <row r="328">
          <cell r="A328" t="str">
            <v xml:space="preserve">Sunkay </v>
          </cell>
        </row>
        <row r="329">
          <cell r="A329" t="str">
            <v>Surface Point</v>
          </cell>
        </row>
        <row r="330">
          <cell r="A330" t="str">
            <v xml:space="preserve">Swan Hills  </v>
          </cell>
        </row>
        <row r="331">
          <cell r="A331" t="str">
            <v xml:space="preserve">Swift  </v>
          </cell>
        </row>
        <row r="332">
          <cell r="A332" t="str">
            <v xml:space="preserve">Taber </v>
          </cell>
        </row>
        <row r="333">
          <cell r="A333" t="str">
            <v>Tangent</v>
          </cell>
        </row>
        <row r="334">
          <cell r="A334" t="str">
            <v xml:space="preserve">Tathlina  </v>
          </cell>
        </row>
        <row r="335">
          <cell r="A335" t="str">
            <v xml:space="preserve">Taylor Flat </v>
          </cell>
        </row>
        <row r="336">
          <cell r="A336" t="str">
            <v>TD Leg #1</v>
          </cell>
        </row>
        <row r="337">
          <cell r="A337" t="str">
            <v>TD Leg #2</v>
          </cell>
        </row>
        <row r="338">
          <cell r="A338" t="str">
            <v>TD Leg #3</v>
          </cell>
        </row>
        <row r="339">
          <cell r="A339" t="str">
            <v>TD Leg #4</v>
          </cell>
        </row>
        <row r="340">
          <cell r="A340" t="str">
            <v xml:space="preserve">Tetcho </v>
          </cell>
        </row>
        <row r="341">
          <cell r="A341" t="str">
            <v xml:space="preserve">Tetsa </v>
          </cell>
        </row>
        <row r="342">
          <cell r="A342" t="str">
            <v xml:space="preserve">Thelma  </v>
          </cell>
        </row>
        <row r="343">
          <cell r="A343" t="str">
            <v xml:space="preserve">Three Forks </v>
          </cell>
        </row>
        <row r="344">
          <cell r="A344" t="str">
            <v>Tilston Beds</v>
          </cell>
        </row>
        <row r="345">
          <cell r="A345" t="str">
            <v xml:space="preserve">Toad  </v>
          </cell>
        </row>
        <row r="346">
          <cell r="A346" t="str">
            <v xml:space="preserve">Torquay  </v>
          </cell>
        </row>
        <row r="347">
          <cell r="A347" t="str">
            <v>Total Depth</v>
          </cell>
        </row>
        <row r="348">
          <cell r="A348" t="str">
            <v xml:space="preserve">Trout River </v>
          </cell>
        </row>
        <row r="349">
          <cell r="A349" t="str">
            <v xml:space="preserve">Turner Valley  </v>
          </cell>
        </row>
        <row r="350">
          <cell r="A350" t="str">
            <v>Upper Porous</v>
          </cell>
        </row>
        <row r="351">
          <cell r="A351" t="str">
            <v xml:space="preserve">Valhalla (Cutbank) Sand </v>
          </cell>
        </row>
        <row r="352">
          <cell r="A352" t="str">
            <v xml:space="preserve">Vanguard  </v>
          </cell>
        </row>
        <row r="353">
          <cell r="A353" t="str">
            <v xml:space="preserve">Vermillion  </v>
          </cell>
        </row>
        <row r="354">
          <cell r="A354" t="str">
            <v xml:space="preserve">Viking  </v>
          </cell>
        </row>
        <row r="355">
          <cell r="A355" t="str">
            <v xml:space="preserve">Viking Chert </v>
          </cell>
        </row>
        <row r="356">
          <cell r="A356" t="str">
            <v>Viking Conglomerate</v>
          </cell>
        </row>
        <row r="357">
          <cell r="A357" t="str">
            <v xml:space="preserve">Vimy </v>
          </cell>
        </row>
        <row r="358">
          <cell r="A358" t="str">
            <v xml:space="preserve">Virden  </v>
          </cell>
        </row>
        <row r="359">
          <cell r="A359" t="str">
            <v xml:space="preserve">Virgelle  </v>
          </cell>
        </row>
        <row r="360">
          <cell r="A360" t="str">
            <v xml:space="preserve">Virginia Hills  </v>
          </cell>
        </row>
        <row r="361">
          <cell r="A361" t="str">
            <v xml:space="preserve">Wabamun  </v>
          </cell>
        </row>
        <row r="362">
          <cell r="A362" t="str">
            <v xml:space="preserve">Wabasca  </v>
          </cell>
        </row>
        <row r="363">
          <cell r="A363" t="str">
            <v xml:space="preserve">Wabiskaw  </v>
          </cell>
        </row>
        <row r="364">
          <cell r="A364" t="str">
            <v xml:space="preserve">Wapiabi  </v>
          </cell>
        </row>
        <row r="365">
          <cell r="A365" t="str">
            <v xml:space="preserve">Wapiti </v>
          </cell>
        </row>
        <row r="366">
          <cell r="A366" t="str">
            <v xml:space="preserve">Waseca Sand </v>
          </cell>
        </row>
        <row r="367">
          <cell r="A367" t="str">
            <v xml:space="preserve">Waskahigan  </v>
          </cell>
        </row>
        <row r="368">
          <cell r="A368" t="str">
            <v xml:space="preserve">Waterfowl </v>
          </cell>
        </row>
        <row r="369">
          <cell r="A369" t="str">
            <v xml:space="preserve">Waterways </v>
          </cell>
        </row>
        <row r="370">
          <cell r="A370" t="str">
            <v xml:space="preserve">Watrous </v>
          </cell>
        </row>
        <row r="371">
          <cell r="A371" t="str">
            <v xml:space="preserve">Watt Mountain </v>
          </cell>
        </row>
        <row r="372">
          <cell r="A372" t="str">
            <v>White Speckled Shale</v>
          </cell>
        </row>
        <row r="373">
          <cell r="A373" t="str">
            <v xml:space="preserve">Whitehorse  </v>
          </cell>
        </row>
        <row r="374">
          <cell r="A374" t="str">
            <v xml:space="preserve">Wilder  </v>
          </cell>
        </row>
        <row r="375">
          <cell r="A375" t="str">
            <v xml:space="preserve">Willmar Lime  </v>
          </cell>
        </row>
        <row r="376">
          <cell r="A376" t="str">
            <v xml:space="preserve">Wilrich  </v>
          </cell>
        </row>
        <row r="377">
          <cell r="A377" t="str">
            <v xml:space="preserve">Winnipeg </v>
          </cell>
        </row>
        <row r="378">
          <cell r="A378" t="str">
            <v xml:space="preserve">Winnipegosis  </v>
          </cell>
        </row>
        <row r="379">
          <cell r="A379" t="str">
            <v xml:space="preserve">Winterburn </v>
          </cell>
        </row>
        <row r="380">
          <cell r="A380" t="str">
            <v xml:space="preserve">Wolf Lake  </v>
          </cell>
        </row>
        <row r="381">
          <cell r="A381" t="str">
            <v xml:space="preserve">Woodbend </v>
          </cell>
        </row>
        <row r="382">
          <cell r="A382" t="str">
            <v xml:space="preserve">Worsley   </v>
          </cell>
        </row>
        <row r="383">
          <cell r="A383" t="str">
            <v xml:space="preserve">Yeoman  </v>
          </cell>
        </row>
        <row r="384">
          <cell r="A384" t="str">
            <v xml:space="preserve">Zama </v>
          </cell>
        </row>
        <row r="385">
          <cell r="A385" t="str">
            <v xml:space="preserve">Zeta Lake  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"/>
      <sheetName val="Leg 1"/>
      <sheetName val="Leg 2"/>
      <sheetName val="Leg 3"/>
      <sheetName val="Leg 4"/>
      <sheetName val="Leg 5"/>
      <sheetName val="Leg 6"/>
      <sheetName val="Leg 6 "/>
      <sheetName val="Leg 9"/>
      <sheetName val="Leg 7"/>
      <sheetName val="Leg 8"/>
      <sheetName val="TARGETS"/>
      <sheetName val="Plan View"/>
      <sheetName val="TVD vs VS"/>
      <sheetName val="Interpolate"/>
      <sheetName val="Circle plotter"/>
      <sheetName val="Quick calc MD_TVD"/>
      <sheetName val="Annotation"/>
    </sheetNames>
    <sheetDataSet>
      <sheetData sheetId="0" refreshError="1">
        <row r="6">
          <cell r="B6">
            <v>697.4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ll Data"/>
      <sheetName val="Tops (Hz)"/>
      <sheetName val="Bit"/>
      <sheetName val="Target &amp; Lateral Leg #1"/>
      <sheetName val="Target &amp; Lateral Leg #2"/>
      <sheetName val="Target &amp; Lateral Leg #3"/>
      <sheetName val="Target &amp; Lateral Leg #4"/>
      <sheetName val="Target &amp; Lateral Leg #5"/>
      <sheetName val="Target &amp; Lateral Leg #6"/>
      <sheetName val="Target &amp; Lateral Leg #7"/>
      <sheetName val="Target &amp; Lateral Leg #8"/>
      <sheetName val="Target &amp; Lateral Leg #9"/>
      <sheetName val="Target &amp; Lateral Leg #10"/>
      <sheetName val="Reservoir Quality Log"/>
      <sheetName val="Porosity Log"/>
      <sheetName val="Drilling Curve"/>
      <sheetName val="Surveys"/>
      <sheetName val="Daily"/>
      <sheetName val="Dev. surveys"/>
      <sheetName val="Logging Report"/>
      <sheetName val="Core Recovery Report"/>
      <sheetName val="Core Description Report"/>
      <sheetName val="WL_xxxxxx-xxx-xx-xx-xxx-xxWx-00"/>
    </sheetNames>
    <definedNames>
      <definedName name="AddLogging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RPS">
      <a:dk1>
        <a:srgbClr val="777A80"/>
      </a:dk1>
      <a:lt1>
        <a:srgbClr val="D7D8D6"/>
      </a:lt1>
      <a:dk2>
        <a:srgbClr val="BEB7B3"/>
      </a:dk2>
      <a:lt2>
        <a:srgbClr val="E1DEDB"/>
      </a:lt2>
      <a:accent1>
        <a:srgbClr val="C4D82E"/>
      </a:accent1>
      <a:accent2>
        <a:srgbClr val="71004B"/>
      </a:accent2>
      <a:accent3>
        <a:srgbClr val="00B18F"/>
      </a:accent3>
      <a:accent4>
        <a:srgbClr val="FCDD6A"/>
      </a:accent4>
      <a:accent5>
        <a:srgbClr val="64CBE8"/>
      </a:accent5>
      <a:accent6>
        <a:srgbClr val="4B2884"/>
      </a:accent6>
      <a:hlink>
        <a:srgbClr val="D8D8D8"/>
      </a:hlink>
      <a:folHlink>
        <a:srgbClr val="D8D8D8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ell_Data"/>
  <dimension ref="A1:K554"/>
  <sheetViews>
    <sheetView topLeftCell="A41" zoomScale="130" zoomScaleNormal="130" zoomScaleSheetLayoutView="100" workbookViewId="0">
      <selection activeCell="E55" sqref="E55:G55"/>
    </sheetView>
  </sheetViews>
  <sheetFormatPr defaultColWidth="9.1796875" defaultRowHeight="14"/>
  <cols>
    <col min="1" max="1" width="23.453125" style="7" customWidth="1"/>
    <col min="2" max="3" width="9.7265625" style="7" customWidth="1"/>
    <col min="4" max="4" width="7.453125" style="7" customWidth="1"/>
    <col min="5" max="5" width="10.7265625" style="7" bestFit="1" customWidth="1"/>
    <col min="6" max="6" width="9.7265625" style="7" customWidth="1"/>
    <col min="7" max="7" width="13.1796875" style="7" customWidth="1"/>
    <col min="8" max="16384" width="9.1796875" style="7"/>
  </cols>
  <sheetData>
    <row r="1" spans="1:11" s="3" customFormat="1" ht="23">
      <c r="A1" s="350" t="s">
        <v>38</v>
      </c>
      <c r="B1" s="350"/>
      <c r="C1" s="350"/>
      <c r="D1" s="350"/>
      <c r="E1" s="350"/>
      <c r="F1" s="350"/>
      <c r="G1" s="350"/>
      <c r="H1" s="16"/>
      <c r="I1" s="16"/>
      <c r="J1" s="16"/>
      <c r="K1" s="16"/>
    </row>
    <row r="2" spans="1:11" s="15" customFormat="1" ht="22.5">
      <c r="A2" s="353"/>
      <c r="B2" s="353"/>
      <c r="C2" s="353"/>
      <c r="D2" s="353"/>
      <c r="E2" s="353"/>
      <c r="F2" s="353"/>
      <c r="G2" s="353"/>
      <c r="H2" s="17"/>
      <c r="I2" s="17"/>
      <c r="J2" s="17"/>
      <c r="K2" s="17"/>
    </row>
    <row r="3" spans="1:11" s="15" customFormat="1" ht="22.5">
      <c r="A3" s="354" t="s">
        <v>108</v>
      </c>
      <c r="B3" s="354"/>
      <c r="C3" s="354"/>
      <c r="D3" s="354"/>
      <c r="E3" s="354"/>
      <c r="F3" s="354"/>
      <c r="G3" s="354"/>
      <c r="H3" s="17"/>
      <c r="I3" s="17"/>
      <c r="J3" s="17"/>
      <c r="K3" s="17"/>
    </row>
    <row r="4" spans="1:11" s="15" customFormat="1" ht="22.5">
      <c r="A4" s="353"/>
      <c r="B4" s="353"/>
      <c r="C4" s="353"/>
      <c r="D4" s="353"/>
      <c r="E4" s="353"/>
      <c r="F4" s="353"/>
      <c r="G4" s="353"/>
      <c r="H4" s="17"/>
      <c r="I4" s="17"/>
      <c r="J4" s="17"/>
      <c r="K4" s="17"/>
    </row>
    <row r="5" spans="1:11" s="20" customFormat="1">
      <c r="A5" s="351" t="s">
        <v>100</v>
      </c>
      <c r="B5" s="351"/>
      <c r="C5" s="351"/>
      <c r="D5" s="351"/>
      <c r="E5" s="351"/>
      <c r="F5" s="351"/>
      <c r="G5" s="351"/>
      <c r="H5" s="19"/>
      <c r="I5" s="19"/>
      <c r="J5" s="19"/>
      <c r="K5" s="19"/>
    </row>
    <row r="6" spans="1:11" s="15" customFormat="1" ht="22.5">
      <c r="A6" s="118" t="s">
        <v>106</v>
      </c>
      <c r="B6" s="355" t="s">
        <v>249</v>
      </c>
      <c r="C6" s="355"/>
      <c r="D6" s="355"/>
      <c r="E6" s="355"/>
      <c r="F6" s="355"/>
      <c r="G6" s="355"/>
      <c r="H6" s="17"/>
      <c r="I6" s="17"/>
      <c r="J6" s="17"/>
      <c r="K6" s="17"/>
    </row>
    <row r="7" spans="1:11" s="15" customFormat="1" ht="22.5">
      <c r="A7" s="36" t="s">
        <v>106</v>
      </c>
      <c r="B7" s="356" t="s">
        <v>288</v>
      </c>
      <c r="C7" s="356"/>
      <c r="D7" s="356"/>
      <c r="E7" s="356"/>
      <c r="F7" s="356"/>
      <c r="G7" s="356"/>
      <c r="H7" s="17"/>
      <c r="I7" s="17"/>
      <c r="J7" s="17"/>
      <c r="K7" s="17"/>
    </row>
    <row r="8" spans="1:11" s="15" customFormat="1" ht="23" thickBot="1">
      <c r="A8" s="37" t="s">
        <v>106</v>
      </c>
      <c r="B8" s="357"/>
      <c r="C8" s="357"/>
      <c r="D8" s="357"/>
      <c r="E8" s="357"/>
      <c r="F8" s="357"/>
      <c r="G8" s="357"/>
      <c r="H8" s="17"/>
      <c r="I8" s="17"/>
      <c r="J8" s="17"/>
    </row>
    <row r="9" spans="1:11" s="2" customFormat="1">
      <c r="A9" s="345"/>
      <c r="B9" s="345"/>
      <c r="C9" s="345"/>
      <c r="D9" s="345"/>
      <c r="E9" s="345"/>
      <c r="F9" s="345"/>
      <c r="G9" s="345"/>
      <c r="H9" s="9"/>
      <c r="I9" s="9"/>
      <c r="J9" s="9"/>
      <c r="K9" s="9"/>
    </row>
    <row r="10" spans="1:11" s="20" customFormat="1">
      <c r="A10" s="351" t="s">
        <v>93</v>
      </c>
      <c r="B10" s="351"/>
      <c r="C10" s="351"/>
      <c r="D10" s="351"/>
      <c r="E10" s="351"/>
      <c r="F10" s="351"/>
      <c r="G10" s="351"/>
      <c r="H10" s="19"/>
      <c r="I10" s="19"/>
      <c r="J10" s="19"/>
      <c r="K10" s="19"/>
    </row>
    <row r="11" spans="1:11" s="2" customFormat="1" ht="14.25" customHeight="1">
      <c r="A11" s="32" t="s">
        <v>18</v>
      </c>
      <c r="B11" s="352" t="s">
        <v>289</v>
      </c>
      <c r="C11" s="352"/>
      <c r="D11" s="352"/>
      <c r="E11" s="352"/>
      <c r="F11" s="352"/>
      <c r="G11" s="352"/>
      <c r="H11" s="9"/>
      <c r="I11" s="9"/>
      <c r="J11" s="9"/>
      <c r="K11" s="9"/>
    </row>
    <row r="12" spans="1:11" s="2" customFormat="1" ht="14.25" customHeight="1">
      <c r="A12" s="32" t="s">
        <v>16</v>
      </c>
      <c r="B12" s="339" t="s">
        <v>290</v>
      </c>
      <c r="C12" s="339"/>
      <c r="D12" s="339"/>
      <c r="E12" s="339"/>
      <c r="F12" s="339"/>
      <c r="G12" s="339"/>
      <c r="H12" s="9"/>
      <c r="I12" s="9"/>
      <c r="J12" s="9"/>
      <c r="K12" s="9"/>
    </row>
    <row r="13" spans="1:11" s="2" customFormat="1" ht="14.25" customHeight="1">
      <c r="A13" s="32" t="s">
        <v>20</v>
      </c>
      <c r="B13" s="339" t="s">
        <v>291</v>
      </c>
      <c r="C13" s="339"/>
      <c r="D13" s="339"/>
      <c r="E13" s="339"/>
      <c r="F13" s="339"/>
      <c r="G13" s="339"/>
    </row>
    <row r="14" spans="1:11" s="2" customFormat="1" ht="14.25" customHeight="1">
      <c r="A14" s="32" t="s">
        <v>19</v>
      </c>
      <c r="B14" s="339" t="s">
        <v>292</v>
      </c>
      <c r="C14" s="339"/>
      <c r="D14" s="339"/>
      <c r="E14" s="339"/>
      <c r="F14" s="339"/>
      <c r="G14" s="339"/>
    </row>
    <row r="15" spans="1:11" s="2" customFormat="1">
      <c r="A15" s="32" t="s">
        <v>21</v>
      </c>
      <c r="B15" s="339" t="s">
        <v>293</v>
      </c>
      <c r="C15" s="339"/>
      <c r="D15" s="339"/>
      <c r="E15" s="339"/>
      <c r="F15" s="339"/>
      <c r="G15" s="339"/>
      <c r="H15" s="9"/>
      <c r="I15" s="9"/>
      <c r="J15" s="9"/>
      <c r="K15" s="9"/>
    </row>
    <row r="16" spans="1:11" s="2" customFormat="1">
      <c r="A16" s="33" t="s">
        <v>26</v>
      </c>
      <c r="B16" s="349" t="s">
        <v>294</v>
      </c>
      <c r="C16" s="349"/>
      <c r="D16" s="349"/>
      <c r="E16" s="349"/>
      <c r="F16" s="349"/>
      <c r="G16" s="349"/>
      <c r="H16" s="9"/>
      <c r="I16" s="9"/>
      <c r="J16" s="9"/>
    </row>
    <row r="17" spans="1:11" s="2" customFormat="1">
      <c r="A17" s="33" t="s">
        <v>94</v>
      </c>
      <c r="B17" s="339" t="s">
        <v>295</v>
      </c>
      <c r="C17" s="339"/>
      <c r="D17" s="339"/>
      <c r="E17" s="339"/>
      <c r="F17" s="339"/>
      <c r="G17" s="339"/>
      <c r="H17" s="9"/>
      <c r="I17" s="9"/>
      <c r="J17" s="9"/>
    </row>
    <row r="18" spans="1:11" s="2" customFormat="1" ht="14.25" customHeight="1">
      <c r="A18" s="34" t="s">
        <v>22</v>
      </c>
      <c r="B18" s="339" t="s">
        <v>157</v>
      </c>
      <c r="C18" s="339"/>
      <c r="D18" s="339"/>
      <c r="E18" s="339"/>
      <c r="F18" s="339"/>
      <c r="G18" s="339"/>
      <c r="H18" s="9"/>
      <c r="I18" s="9"/>
      <c r="J18" s="9"/>
      <c r="K18" s="9"/>
    </row>
    <row r="19" spans="1:11" s="2" customFormat="1" ht="14.25" customHeight="1">
      <c r="A19" s="34" t="s">
        <v>37</v>
      </c>
      <c r="B19" s="339" t="s">
        <v>276</v>
      </c>
      <c r="C19" s="339"/>
      <c r="D19" s="339"/>
      <c r="E19" s="339"/>
      <c r="F19" s="339"/>
      <c r="G19" s="339"/>
      <c r="H19" s="9"/>
      <c r="I19" s="9"/>
      <c r="J19" s="9"/>
      <c r="K19" s="9"/>
    </row>
    <row r="20" spans="1:11" s="2" customFormat="1" ht="14.5" thickBot="1">
      <c r="A20" s="35" t="s">
        <v>104</v>
      </c>
      <c r="B20" s="347" t="s">
        <v>254</v>
      </c>
      <c r="C20" s="347"/>
      <c r="D20" s="347"/>
      <c r="E20" s="347"/>
      <c r="F20" s="347"/>
      <c r="G20" s="347"/>
      <c r="H20" s="9"/>
      <c r="I20" s="9"/>
      <c r="J20" s="9"/>
      <c r="K20" s="9"/>
    </row>
    <row r="21" spans="1:11" s="2" customFormat="1">
      <c r="A21" s="345"/>
      <c r="B21" s="345"/>
      <c r="C21" s="345"/>
      <c r="D21" s="345"/>
      <c r="E21" s="345"/>
      <c r="F21" s="345"/>
      <c r="G21" s="345"/>
      <c r="H21" s="9"/>
      <c r="I21" s="9"/>
      <c r="J21" s="9"/>
      <c r="K21" s="9"/>
    </row>
    <row r="22" spans="1:11" s="20" customFormat="1">
      <c r="A22" s="348" t="s">
        <v>0</v>
      </c>
      <c r="B22" s="348"/>
      <c r="C22" s="348"/>
      <c r="D22" s="348"/>
      <c r="E22" s="348"/>
      <c r="F22" s="348"/>
      <c r="G22" s="348"/>
      <c r="H22" s="19"/>
      <c r="I22" s="19"/>
      <c r="J22" s="19"/>
      <c r="K22" s="19"/>
    </row>
    <row r="23" spans="1:11" s="2" customFormat="1">
      <c r="A23" s="36" t="s">
        <v>24</v>
      </c>
      <c r="B23" s="343" t="s">
        <v>296</v>
      </c>
      <c r="C23" s="343"/>
      <c r="D23" s="343"/>
      <c r="E23" s="343"/>
      <c r="F23" s="343"/>
      <c r="G23" s="343"/>
      <c r="H23" s="9"/>
      <c r="I23" s="9"/>
      <c r="J23" s="9"/>
    </row>
    <row r="24" spans="1:11" s="2" customFormat="1">
      <c r="A24" s="36" t="s">
        <v>69</v>
      </c>
      <c r="B24" s="343" t="s">
        <v>319</v>
      </c>
      <c r="C24" s="343"/>
      <c r="D24" s="343"/>
      <c r="E24" s="343"/>
      <c r="F24" s="343"/>
      <c r="G24" s="343"/>
      <c r="H24" s="9"/>
      <c r="I24" s="9"/>
      <c r="J24" s="9"/>
    </row>
    <row r="25" spans="1:11" s="2" customFormat="1">
      <c r="A25" s="36" t="s">
        <v>23</v>
      </c>
      <c r="B25" s="344"/>
      <c r="C25" s="344"/>
      <c r="D25" s="344"/>
      <c r="E25" s="344"/>
      <c r="F25" s="344"/>
      <c r="G25" s="344"/>
      <c r="H25" s="9"/>
      <c r="I25" s="9"/>
      <c r="J25" s="9"/>
    </row>
    <row r="26" spans="1:11" s="2" customFormat="1" ht="14.25" customHeight="1">
      <c r="A26" s="36" t="s">
        <v>39</v>
      </c>
      <c r="B26" s="343" t="s">
        <v>349</v>
      </c>
      <c r="C26" s="344"/>
      <c r="D26" s="344"/>
      <c r="E26" s="344"/>
      <c r="F26" s="344"/>
      <c r="G26" s="344"/>
      <c r="H26" s="9"/>
      <c r="I26" s="9"/>
      <c r="J26" s="9"/>
    </row>
    <row r="27" spans="1:11" s="2" customFormat="1" ht="14.25" customHeight="1">
      <c r="A27" s="36" t="s">
        <v>40</v>
      </c>
      <c r="B27" s="343" t="s">
        <v>362</v>
      </c>
      <c r="C27" s="344"/>
      <c r="D27" s="344"/>
      <c r="E27" s="344"/>
      <c r="F27" s="344"/>
      <c r="G27" s="344"/>
      <c r="H27" s="9"/>
      <c r="I27" s="9"/>
      <c r="J27" s="9"/>
    </row>
    <row r="28" spans="1:11" s="2" customFormat="1" ht="14.25" customHeight="1">
      <c r="A28" s="36" t="s">
        <v>41</v>
      </c>
      <c r="B28" s="343" t="s">
        <v>390</v>
      </c>
      <c r="C28" s="344"/>
      <c r="D28" s="344"/>
      <c r="E28" s="344"/>
      <c r="F28" s="344"/>
      <c r="G28" s="344"/>
      <c r="H28" s="9"/>
      <c r="I28" s="9"/>
      <c r="J28" s="9"/>
    </row>
    <row r="29" spans="1:11" s="2" customFormat="1" ht="14.25" customHeight="1">
      <c r="A29" s="36" t="s">
        <v>42</v>
      </c>
      <c r="B29" s="343"/>
      <c r="C29" s="344"/>
      <c r="D29" s="344"/>
      <c r="E29" s="344"/>
      <c r="F29" s="344"/>
      <c r="G29" s="344"/>
      <c r="H29" s="9"/>
      <c r="I29" s="9"/>
      <c r="J29" s="9"/>
    </row>
    <row r="30" spans="1:11" s="2" customFormat="1" ht="14.25" customHeight="1">
      <c r="A30" s="36" t="s">
        <v>43</v>
      </c>
      <c r="B30" s="343"/>
      <c r="C30" s="344"/>
      <c r="D30" s="344"/>
      <c r="E30" s="344"/>
      <c r="F30" s="344"/>
      <c r="G30" s="344"/>
      <c r="H30" s="9"/>
      <c r="I30" s="9"/>
      <c r="J30" s="9"/>
    </row>
    <row r="31" spans="1:11" s="2" customFormat="1" ht="14.25" hidden="1" customHeight="1">
      <c r="A31" s="36" t="s">
        <v>44</v>
      </c>
      <c r="B31" s="343"/>
      <c r="C31" s="344"/>
      <c r="D31" s="344"/>
      <c r="E31" s="344"/>
      <c r="F31" s="344"/>
      <c r="G31" s="344"/>
      <c r="H31" s="9"/>
      <c r="I31" s="9"/>
      <c r="J31" s="9"/>
    </row>
    <row r="32" spans="1:11" s="2" customFormat="1" hidden="1">
      <c r="A32" s="36" t="s">
        <v>114</v>
      </c>
      <c r="B32" s="338"/>
      <c r="C32" s="339"/>
      <c r="D32" s="339"/>
      <c r="E32" s="339"/>
      <c r="F32" s="339"/>
      <c r="G32" s="339"/>
      <c r="H32" s="9"/>
      <c r="I32" s="9"/>
      <c r="J32" s="9"/>
    </row>
    <row r="33" spans="1:11" s="2" customFormat="1" hidden="1">
      <c r="A33" s="36" t="s">
        <v>115</v>
      </c>
      <c r="B33" s="339"/>
      <c r="C33" s="339"/>
      <c r="D33" s="339"/>
      <c r="E33" s="339"/>
      <c r="F33" s="339"/>
      <c r="G33" s="339"/>
      <c r="H33" s="9"/>
      <c r="I33" s="9"/>
      <c r="J33" s="9"/>
    </row>
    <row r="34" spans="1:11" s="2" customFormat="1" hidden="1">
      <c r="A34" s="36" t="s">
        <v>116</v>
      </c>
      <c r="B34" s="339"/>
      <c r="C34" s="339"/>
      <c r="D34" s="339"/>
      <c r="E34" s="339"/>
      <c r="F34" s="339"/>
      <c r="G34" s="339"/>
      <c r="H34" s="9"/>
      <c r="I34" s="9"/>
      <c r="J34" s="9"/>
    </row>
    <row r="35" spans="1:11" s="2" customFormat="1" hidden="1">
      <c r="A35" s="36" t="s">
        <v>117</v>
      </c>
      <c r="B35" s="339"/>
      <c r="C35" s="339"/>
      <c r="D35" s="339"/>
      <c r="E35" s="339"/>
      <c r="F35" s="339"/>
      <c r="G35" s="339"/>
      <c r="H35" s="9"/>
      <c r="I35" s="9"/>
      <c r="J35" s="9"/>
    </row>
    <row r="36" spans="1:11" s="2" customFormat="1" hidden="1">
      <c r="A36" s="36" t="s">
        <v>118</v>
      </c>
      <c r="B36" s="339"/>
      <c r="C36" s="339"/>
      <c r="D36" s="339"/>
      <c r="E36" s="339"/>
      <c r="F36" s="339"/>
      <c r="G36" s="339"/>
      <c r="H36" s="9"/>
      <c r="I36" s="9"/>
      <c r="J36" s="9"/>
    </row>
    <row r="37" spans="1:11" s="2" customFormat="1" hidden="1">
      <c r="A37" s="36" t="s">
        <v>119</v>
      </c>
      <c r="B37" s="339"/>
      <c r="C37" s="339"/>
      <c r="D37" s="339"/>
      <c r="E37" s="339"/>
      <c r="F37" s="339"/>
      <c r="G37" s="339"/>
      <c r="H37" s="9"/>
      <c r="I37" s="9"/>
      <c r="J37" s="9"/>
    </row>
    <row r="38" spans="1:11" s="2" customFormat="1" hidden="1">
      <c r="A38" s="36" t="s">
        <v>120</v>
      </c>
      <c r="B38" s="339" t="s">
        <v>258</v>
      </c>
      <c r="C38" s="339"/>
      <c r="D38" s="339"/>
      <c r="E38" s="339"/>
      <c r="F38" s="339"/>
      <c r="G38" s="339"/>
      <c r="H38" s="9"/>
      <c r="I38" s="9"/>
      <c r="J38" s="9"/>
    </row>
    <row r="39" spans="1:11" s="2" customFormat="1" hidden="1">
      <c r="A39" s="36" t="s">
        <v>121</v>
      </c>
      <c r="B39" s="339"/>
      <c r="C39" s="339"/>
      <c r="D39" s="339"/>
      <c r="E39" s="339"/>
      <c r="F39" s="339"/>
      <c r="G39" s="339"/>
      <c r="H39" s="9"/>
      <c r="I39" s="9"/>
      <c r="J39" s="9"/>
    </row>
    <row r="40" spans="1:11" s="2" customFormat="1" hidden="1">
      <c r="A40" s="36" t="s">
        <v>25</v>
      </c>
      <c r="B40" s="342" t="s">
        <v>258</v>
      </c>
      <c r="C40" s="342"/>
      <c r="D40" s="342"/>
      <c r="E40" s="342"/>
      <c r="F40" s="342"/>
      <c r="G40" s="342"/>
      <c r="H40" s="9"/>
      <c r="I40" s="9"/>
      <c r="J40" s="9"/>
    </row>
    <row r="41" spans="1:11" s="2" customFormat="1">
      <c r="A41" s="36" t="s">
        <v>95</v>
      </c>
      <c r="B41" s="342" t="s">
        <v>158</v>
      </c>
      <c r="C41" s="342"/>
      <c r="D41" s="342"/>
      <c r="E41" s="342"/>
      <c r="F41" s="342"/>
      <c r="G41" s="342"/>
      <c r="H41" s="9"/>
      <c r="I41" s="9"/>
      <c r="J41" s="9"/>
    </row>
    <row r="42" spans="1:11" s="2" customFormat="1" ht="14.5" thickBot="1">
      <c r="A42" s="37" t="s">
        <v>27</v>
      </c>
      <c r="B42" s="359" t="s">
        <v>297</v>
      </c>
      <c r="C42" s="359"/>
      <c r="D42" s="359"/>
      <c r="E42" s="359"/>
      <c r="F42" s="359"/>
      <c r="G42" s="359"/>
      <c r="H42" s="9"/>
      <c r="I42" s="9"/>
      <c r="J42" s="9"/>
    </row>
    <row r="43" spans="1:11" s="2" customFormat="1">
      <c r="A43" s="345"/>
      <c r="B43" s="345"/>
      <c r="C43" s="345"/>
      <c r="D43" s="345"/>
      <c r="E43" s="345"/>
      <c r="F43" s="345"/>
      <c r="G43" s="345"/>
      <c r="H43" s="9"/>
      <c r="I43" s="9"/>
      <c r="J43" s="9"/>
      <c r="K43" s="9"/>
    </row>
    <row r="44" spans="1:11" s="20" customFormat="1">
      <c r="A44" s="348" t="s">
        <v>1</v>
      </c>
      <c r="B44" s="348"/>
      <c r="C44" s="348"/>
      <c r="D44" s="348"/>
      <c r="E44" s="348"/>
      <c r="F44" s="348"/>
      <c r="G44" s="348"/>
      <c r="H44" s="19"/>
      <c r="I44" s="19"/>
      <c r="J44" s="19"/>
      <c r="K44" s="19"/>
    </row>
    <row r="45" spans="1:11" s="2" customFormat="1" ht="14.5" thickBot="1">
      <c r="A45" s="35" t="s">
        <v>28</v>
      </c>
      <c r="B45" s="361">
        <v>684.6</v>
      </c>
      <c r="C45" s="361"/>
      <c r="D45" s="360" t="s">
        <v>92</v>
      </c>
      <c r="E45" s="360"/>
      <c r="F45" s="362">
        <v>688.9</v>
      </c>
      <c r="G45" s="362"/>
      <c r="H45" s="9"/>
      <c r="I45" s="9"/>
      <c r="J45" s="9"/>
      <c r="K45" s="9"/>
    </row>
    <row r="46" spans="1:11" s="2" customFormat="1">
      <c r="A46" s="345"/>
      <c r="B46" s="345"/>
      <c r="C46" s="345"/>
      <c r="D46" s="345"/>
      <c r="E46" s="345"/>
      <c r="F46" s="345"/>
      <c r="G46" s="345"/>
      <c r="H46" s="9"/>
      <c r="I46" s="9"/>
      <c r="J46" s="9"/>
      <c r="K46" s="9"/>
    </row>
    <row r="47" spans="1:11" s="20" customFormat="1">
      <c r="A47" s="358" t="s">
        <v>2</v>
      </c>
      <c r="B47" s="358"/>
      <c r="C47" s="358"/>
      <c r="D47" s="358"/>
      <c r="E47" s="358"/>
      <c r="F47" s="358"/>
      <c r="G47" s="358"/>
      <c r="H47" s="19"/>
      <c r="I47" s="19"/>
      <c r="J47" s="119"/>
      <c r="K47" s="19"/>
    </row>
    <row r="48" spans="1:11" s="2" customFormat="1">
      <c r="A48" s="32" t="s">
        <v>29</v>
      </c>
      <c r="B48" s="336">
        <v>44777</v>
      </c>
      <c r="C48" s="336"/>
      <c r="D48" s="34" t="s">
        <v>102</v>
      </c>
      <c r="E48" s="346">
        <v>0.83333333333333337</v>
      </c>
      <c r="F48" s="346"/>
      <c r="G48" s="346"/>
      <c r="H48" s="9"/>
      <c r="I48" s="9"/>
      <c r="J48" s="9"/>
      <c r="K48" s="9"/>
    </row>
    <row r="49" spans="1:11" s="2" customFormat="1">
      <c r="A49" s="32" t="s">
        <v>70</v>
      </c>
      <c r="B49" s="336">
        <v>44779</v>
      </c>
      <c r="C49" s="336"/>
      <c r="D49" s="34" t="s">
        <v>102</v>
      </c>
      <c r="E49" s="337">
        <v>0.26041666666666669</v>
      </c>
      <c r="F49" s="337"/>
      <c r="G49" s="337"/>
      <c r="H49" s="9"/>
      <c r="I49" s="9"/>
      <c r="J49" s="9"/>
      <c r="K49" s="9"/>
    </row>
    <row r="50" spans="1:11" s="2" customFormat="1">
      <c r="A50" s="32" t="s">
        <v>138</v>
      </c>
      <c r="B50" s="336">
        <v>44781</v>
      </c>
      <c r="C50" s="336"/>
      <c r="D50" s="34" t="s">
        <v>102</v>
      </c>
      <c r="E50" s="337">
        <v>0.66319444444444442</v>
      </c>
      <c r="F50" s="337"/>
      <c r="G50" s="337"/>
      <c r="H50" s="9"/>
      <c r="I50" s="9"/>
      <c r="J50" s="9"/>
      <c r="K50" s="9"/>
    </row>
    <row r="51" spans="1:11" s="2" customFormat="1">
      <c r="A51" s="32" t="s">
        <v>139</v>
      </c>
      <c r="B51" s="336">
        <v>44782</v>
      </c>
      <c r="C51" s="336"/>
      <c r="D51" s="34" t="s">
        <v>102</v>
      </c>
      <c r="E51" s="337">
        <v>0.58333333333333337</v>
      </c>
      <c r="F51" s="337"/>
      <c r="G51" s="337"/>
      <c r="H51" s="9"/>
      <c r="I51" s="9"/>
      <c r="J51" s="9"/>
      <c r="K51" s="9"/>
    </row>
    <row r="52" spans="1:11" s="2" customFormat="1" ht="14.25" customHeight="1">
      <c r="A52" s="32" t="s">
        <v>263</v>
      </c>
      <c r="B52" s="336">
        <v>44783</v>
      </c>
      <c r="C52" s="336"/>
      <c r="D52" s="34" t="s">
        <v>102</v>
      </c>
      <c r="E52" s="337">
        <v>0.69444444444444453</v>
      </c>
      <c r="F52" s="337"/>
      <c r="G52" s="337"/>
      <c r="H52" s="9"/>
      <c r="I52" s="9"/>
      <c r="J52" s="9"/>
      <c r="K52" s="9"/>
    </row>
    <row r="53" spans="1:11" s="2" customFormat="1">
      <c r="A53" s="32" t="s">
        <v>140</v>
      </c>
      <c r="B53" s="336"/>
      <c r="C53" s="336"/>
      <c r="D53" s="34" t="s">
        <v>102</v>
      </c>
      <c r="E53" s="337"/>
      <c r="F53" s="337"/>
      <c r="G53" s="337"/>
      <c r="H53" s="9"/>
      <c r="I53" s="9"/>
      <c r="J53" s="9"/>
      <c r="K53" s="9"/>
    </row>
    <row r="54" spans="1:11" s="2" customFormat="1" ht="12.75" customHeight="1">
      <c r="A54" s="32" t="s">
        <v>141</v>
      </c>
      <c r="B54" s="336"/>
      <c r="C54" s="336"/>
      <c r="D54" s="34" t="s">
        <v>102</v>
      </c>
      <c r="E54" s="337"/>
      <c r="F54" s="337"/>
      <c r="G54" s="337"/>
      <c r="H54" s="9"/>
      <c r="I54" s="9"/>
      <c r="J54" s="9"/>
      <c r="K54" s="9"/>
    </row>
    <row r="55" spans="1:11" s="2" customFormat="1" ht="14.25" customHeight="1">
      <c r="A55" s="32" t="s">
        <v>30</v>
      </c>
      <c r="B55" s="336"/>
      <c r="C55" s="336"/>
      <c r="D55" s="34" t="s">
        <v>102</v>
      </c>
      <c r="E55" s="337"/>
      <c r="F55" s="337"/>
      <c r="G55" s="337"/>
      <c r="H55" s="9"/>
      <c r="I55" s="9"/>
      <c r="J55" s="9"/>
      <c r="K55" s="9"/>
    </row>
    <row r="56" spans="1:11" s="2" customFormat="1" ht="14.15" hidden="1" customHeight="1">
      <c r="A56" s="32" t="s">
        <v>142</v>
      </c>
      <c r="B56" s="336" t="s">
        <v>264</v>
      </c>
      <c r="C56" s="336"/>
      <c r="D56" s="34" t="s">
        <v>102</v>
      </c>
      <c r="E56" s="337" t="s">
        <v>265</v>
      </c>
      <c r="F56" s="337"/>
      <c r="G56" s="337"/>
      <c r="H56" s="9"/>
      <c r="I56" s="9"/>
      <c r="J56" s="9"/>
      <c r="K56" s="9"/>
    </row>
    <row r="57" spans="1:11" s="2" customFormat="1" ht="14.15" hidden="1" customHeight="1">
      <c r="A57" s="32" t="s">
        <v>143</v>
      </c>
      <c r="B57" s="336" t="s">
        <v>264</v>
      </c>
      <c r="C57" s="336"/>
      <c r="D57" s="34" t="s">
        <v>102</v>
      </c>
      <c r="E57" s="337" t="s">
        <v>265</v>
      </c>
      <c r="F57" s="337"/>
      <c r="G57" s="337"/>
      <c r="H57" s="9"/>
      <c r="I57" s="9"/>
      <c r="J57" s="9"/>
      <c r="K57" s="9"/>
    </row>
    <row r="58" spans="1:11" s="2" customFormat="1" ht="14.15" hidden="1" customHeight="1">
      <c r="A58" s="32" t="s">
        <v>149</v>
      </c>
      <c r="B58" s="336" t="s">
        <v>264</v>
      </c>
      <c r="C58" s="336"/>
      <c r="D58" s="34" t="s">
        <v>102</v>
      </c>
      <c r="E58" s="337" t="s">
        <v>265</v>
      </c>
      <c r="F58" s="337"/>
      <c r="G58" s="337"/>
      <c r="H58" s="9"/>
      <c r="I58" s="9"/>
      <c r="J58" s="9"/>
      <c r="K58" s="9"/>
    </row>
    <row r="59" spans="1:11" s="2" customFormat="1" ht="14.15" hidden="1" customHeight="1">
      <c r="A59" s="32" t="s">
        <v>144</v>
      </c>
      <c r="B59" s="336" t="s">
        <v>264</v>
      </c>
      <c r="C59" s="336"/>
      <c r="D59" s="34" t="s">
        <v>102</v>
      </c>
      <c r="E59" s="337" t="s">
        <v>265</v>
      </c>
      <c r="F59" s="337"/>
      <c r="G59" s="337"/>
      <c r="H59" s="9"/>
      <c r="I59" s="9"/>
      <c r="J59" s="9"/>
      <c r="K59" s="9"/>
    </row>
    <row r="60" spans="1:11" s="2" customFormat="1" ht="14.15" hidden="1" customHeight="1">
      <c r="A60" s="32" t="s">
        <v>145</v>
      </c>
      <c r="B60" s="336">
        <v>44728</v>
      </c>
      <c r="C60" s="336"/>
      <c r="D60" s="34" t="s">
        <v>102</v>
      </c>
      <c r="E60" s="337" t="s">
        <v>265</v>
      </c>
      <c r="F60" s="337"/>
      <c r="G60" s="337"/>
      <c r="H60" s="9"/>
      <c r="I60" s="9"/>
      <c r="J60" s="9"/>
      <c r="K60" s="9"/>
    </row>
    <row r="61" spans="1:11" s="2" customFormat="1" ht="14.15" hidden="1" customHeight="1">
      <c r="A61" s="32" t="s">
        <v>146</v>
      </c>
      <c r="B61" s="336" t="s">
        <v>264</v>
      </c>
      <c r="C61" s="336"/>
      <c r="D61" s="34" t="s">
        <v>102</v>
      </c>
      <c r="E61" s="337" t="s">
        <v>265</v>
      </c>
      <c r="F61" s="337"/>
      <c r="G61" s="337"/>
      <c r="H61" s="9"/>
      <c r="I61" s="9"/>
      <c r="J61" s="9"/>
      <c r="K61" s="9"/>
    </row>
    <row r="62" spans="1:11" s="2" customFormat="1" ht="14.15" hidden="1" customHeight="1">
      <c r="A62" s="32" t="s">
        <v>147</v>
      </c>
      <c r="B62" s="336" t="s">
        <v>264</v>
      </c>
      <c r="C62" s="336"/>
      <c r="D62" s="34" t="s">
        <v>102</v>
      </c>
      <c r="E62" s="337" t="s">
        <v>265</v>
      </c>
      <c r="F62" s="337"/>
      <c r="G62" s="337"/>
      <c r="H62" s="9"/>
      <c r="I62" s="9"/>
      <c r="J62" s="9"/>
      <c r="K62" s="9"/>
    </row>
    <row r="63" spans="1:11" s="2" customFormat="1" ht="14.15" hidden="1" customHeight="1">
      <c r="A63" s="32" t="s">
        <v>148</v>
      </c>
      <c r="B63" s="336" t="s">
        <v>264</v>
      </c>
      <c r="C63" s="336"/>
      <c r="D63" s="34" t="s">
        <v>102</v>
      </c>
      <c r="E63" s="337" t="s">
        <v>265</v>
      </c>
      <c r="F63" s="337"/>
      <c r="G63" s="337"/>
      <c r="H63" s="9"/>
      <c r="I63" s="9"/>
      <c r="J63" s="9"/>
      <c r="K63" s="9"/>
    </row>
    <row r="64" spans="1:11" s="2" customFormat="1" ht="14.5" hidden="1" thickBot="1">
      <c r="A64" s="35" t="s">
        <v>30</v>
      </c>
      <c r="B64" s="336"/>
      <c r="C64" s="336"/>
      <c r="D64" s="34" t="s">
        <v>102</v>
      </c>
      <c r="E64" s="337"/>
      <c r="F64" s="337"/>
      <c r="G64" s="337"/>
      <c r="H64" s="9"/>
      <c r="I64" s="9"/>
      <c r="J64" s="9"/>
      <c r="K64" s="9"/>
    </row>
    <row r="65" spans="1:11" s="2" customFormat="1" hidden="1">
      <c r="A65" s="345"/>
      <c r="B65" s="345"/>
      <c r="C65" s="345"/>
      <c r="D65" s="345"/>
      <c r="E65" s="345"/>
      <c r="F65" s="345"/>
      <c r="G65" s="345"/>
      <c r="H65" s="9"/>
      <c r="I65" s="9"/>
      <c r="J65" s="9"/>
      <c r="K65" s="9"/>
    </row>
    <row r="66" spans="1:11" s="20" customFormat="1" ht="14.25" customHeight="1">
      <c r="A66" s="358" t="s">
        <v>3</v>
      </c>
      <c r="B66" s="358"/>
      <c r="C66" s="358"/>
      <c r="D66" s="358"/>
      <c r="E66" s="358"/>
      <c r="F66" s="358"/>
      <c r="G66" s="358"/>
      <c r="H66" s="19"/>
      <c r="I66" s="19"/>
      <c r="J66" s="19"/>
      <c r="K66" s="19"/>
    </row>
    <row r="67" spans="1:11" s="2" customFormat="1" ht="14.25" customHeight="1">
      <c r="A67" s="32" t="s">
        <v>31</v>
      </c>
      <c r="B67" s="339" t="s">
        <v>248</v>
      </c>
      <c r="C67" s="339"/>
      <c r="D67" s="339"/>
      <c r="E67" s="339"/>
      <c r="F67" s="339"/>
      <c r="G67" s="339"/>
      <c r="H67" s="9"/>
      <c r="I67" s="9"/>
      <c r="J67" s="9"/>
      <c r="K67" s="9"/>
    </row>
    <row r="68" spans="1:11" s="2" customFormat="1" ht="14.25" customHeight="1">
      <c r="A68" s="32" t="s">
        <v>32</v>
      </c>
      <c r="B68" s="339" t="s">
        <v>159</v>
      </c>
      <c r="C68" s="339"/>
      <c r="D68" s="339"/>
      <c r="E68" s="339"/>
      <c r="F68" s="339"/>
      <c r="G68" s="339"/>
      <c r="H68" s="9"/>
      <c r="I68" s="9"/>
      <c r="J68" s="9"/>
      <c r="K68" s="9"/>
    </row>
    <row r="69" spans="1:11" s="2" customFormat="1" ht="14.25" customHeight="1" thickBot="1">
      <c r="A69" s="35" t="s">
        <v>33</v>
      </c>
      <c r="B69" s="347" t="s">
        <v>298</v>
      </c>
      <c r="C69" s="347"/>
      <c r="D69" s="347"/>
      <c r="E69" s="347"/>
      <c r="F69" s="347"/>
      <c r="G69" s="347"/>
      <c r="H69" s="9"/>
      <c r="I69" s="9"/>
      <c r="J69" s="9"/>
      <c r="K69" s="9"/>
    </row>
    <row r="70" spans="1:11" s="2" customFormat="1" ht="14.25" customHeight="1">
      <c r="A70" s="345"/>
      <c r="B70" s="345"/>
      <c r="C70" s="345"/>
      <c r="D70" s="345"/>
      <c r="E70" s="345"/>
      <c r="F70" s="345"/>
      <c r="G70" s="345"/>
      <c r="H70" s="9"/>
      <c r="I70" s="9"/>
      <c r="J70" s="9"/>
      <c r="K70" s="9"/>
    </row>
    <row r="71" spans="1:11" s="20" customFormat="1" ht="14.25" customHeight="1">
      <c r="A71" s="358" t="s">
        <v>4</v>
      </c>
      <c r="B71" s="358"/>
      <c r="C71" s="358"/>
      <c r="D71" s="358"/>
      <c r="E71" s="358"/>
      <c r="F71" s="358"/>
      <c r="G71" s="358"/>
      <c r="H71" s="19"/>
      <c r="I71" s="19"/>
      <c r="J71" s="19"/>
      <c r="K71" s="19"/>
    </row>
    <row r="72" spans="1:11" s="2" customFormat="1">
      <c r="A72" s="32" t="s">
        <v>31</v>
      </c>
      <c r="B72" s="339" t="s">
        <v>299</v>
      </c>
      <c r="C72" s="339"/>
      <c r="D72" s="339"/>
      <c r="E72" s="339"/>
      <c r="F72" s="339"/>
      <c r="G72" s="339"/>
      <c r="H72" s="9"/>
      <c r="I72" s="9"/>
      <c r="J72" s="9"/>
      <c r="K72" s="9"/>
    </row>
    <row r="73" spans="1:11" s="2" customFormat="1">
      <c r="A73" s="32" t="s">
        <v>34</v>
      </c>
      <c r="B73" s="339" t="s">
        <v>395</v>
      </c>
      <c r="C73" s="339"/>
      <c r="D73" s="339"/>
      <c r="E73" s="339"/>
      <c r="F73" s="339"/>
      <c r="G73" s="339"/>
      <c r="H73" s="9"/>
      <c r="I73" s="9"/>
      <c r="J73" s="9"/>
      <c r="K73" s="9"/>
    </row>
    <row r="74" spans="1:11" s="2" customFormat="1" ht="14.5" thickBot="1">
      <c r="A74" s="35"/>
      <c r="B74" s="339" t="s">
        <v>396</v>
      </c>
      <c r="C74" s="339"/>
      <c r="D74" s="339"/>
      <c r="E74" s="339"/>
      <c r="F74" s="339"/>
      <c r="G74" s="339"/>
      <c r="H74" s="9"/>
      <c r="I74" s="9"/>
      <c r="J74" s="9"/>
      <c r="K74" s="9"/>
    </row>
    <row r="75" spans="1:11" s="2" customFormat="1">
      <c r="A75" s="345"/>
      <c r="B75" s="345"/>
      <c r="C75" s="345"/>
      <c r="D75" s="345"/>
      <c r="E75" s="345"/>
      <c r="F75" s="345"/>
      <c r="G75" s="345"/>
      <c r="H75" s="9"/>
      <c r="I75" s="9"/>
      <c r="J75" s="9"/>
      <c r="K75" s="9"/>
    </row>
    <row r="76" spans="1:11" s="20" customFormat="1">
      <c r="A76" s="358" t="s">
        <v>5</v>
      </c>
      <c r="B76" s="358"/>
      <c r="C76" s="358"/>
      <c r="D76" s="358"/>
      <c r="E76" s="358"/>
      <c r="F76" s="358"/>
      <c r="G76" s="358"/>
      <c r="H76" s="19"/>
      <c r="I76" s="19"/>
      <c r="J76" s="19"/>
      <c r="K76" s="19"/>
    </row>
    <row r="77" spans="1:11" s="2" customFormat="1" ht="27.75" customHeight="1">
      <c r="A77" s="32" t="s">
        <v>35</v>
      </c>
      <c r="B77" s="338" t="s">
        <v>318</v>
      </c>
      <c r="C77" s="339"/>
      <c r="D77" s="339"/>
      <c r="E77" s="339"/>
      <c r="F77" s="339"/>
      <c r="G77" s="339"/>
      <c r="H77" s="9"/>
      <c r="I77" s="9"/>
      <c r="J77" s="9"/>
      <c r="K77" s="9"/>
    </row>
    <row r="78" spans="1:11" s="2" customFormat="1" ht="14.25" customHeight="1">
      <c r="A78" s="32"/>
      <c r="B78" s="338"/>
      <c r="C78" s="339"/>
      <c r="D78" s="339"/>
      <c r="E78" s="339"/>
      <c r="F78" s="339"/>
      <c r="G78" s="339"/>
      <c r="H78" s="9"/>
      <c r="I78" s="9"/>
      <c r="J78" s="9"/>
      <c r="K78" s="9"/>
    </row>
    <row r="79" spans="1:11" s="2" customFormat="1" hidden="1">
      <c r="A79" s="32"/>
      <c r="B79" s="341"/>
      <c r="C79" s="341"/>
      <c r="D79" s="341"/>
      <c r="E79" s="341"/>
      <c r="F79" s="341"/>
      <c r="G79" s="341"/>
      <c r="H79" s="9"/>
      <c r="I79" s="9"/>
      <c r="J79" s="9"/>
      <c r="K79" s="9"/>
    </row>
    <row r="80" spans="1:11" s="2" customFormat="1" hidden="1">
      <c r="A80" s="32"/>
      <c r="B80" s="341"/>
      <c r="C80" s="341"/>
      <c r="D80" s="341"/>
      <c r="E80" s="341"/>
      <c r="F80" s="341"/>
      <c r="G80" s="341"/>
      <c r="H80" s="9"/>
      <c r="I80" s="9"/>
      <c r="J80" s="9"/>
      <c r="K80" s="9"/>
    </row>
    <row r="81" spans="1:11" s="2" customFormat="1" hidden="1">
      <c r="A81" s="32"/>
      <c r="B81" s="341"/>
      <c r="C81" s="341"/>
      <c r="D81" s="341"/>
      <c r="E81" s="341"/>
      <c r="F81" s="341"/>
      <c r="G81" s="341"/>
      <c r="H81" s="9"/>
      <c r="I81" s="9"/>
      <c r="J81" s="9"/>
      <c r="K81" s="9"/>
    </row>
    <row r="82" spans="1:11" s="2" customFormat="1" hidden="1">
      <c r="A82" s="32"/>
      <c r="B82" s="341"/>
      <c r="C82" s="341"/>
      <c r="D82" s="341"/>
      <c r="E82" s="341"/>
      <c r="F82" s="341"/>
      <c r="G82" s="341"/>
      <c r="H82" s="9"/>
      <c r="I82" s="9"/>
      <c r="J82" s="9"/>
      <c r="K82" s="9"/>
    </row>
    <row r="83" spans="1:11" s="2" customFormat="1" ht="14.25" customHeight="1">
      <c r="A83" s="32" t="s">
        <v>36</v>
      </c>
      <c r="B83" s="338" t="s">
        <v>300</v>
      </c>
      <c r="C83" s="339"/>
      <c r="D83" s="339"/>
      <c r="E83" s="339"/>
      <c r="F83" s="339"/>
      <c r="G83" s="339"/>
      <c r="H83" s="9"/>
      <c r="I83" s="9"/>
      <c r="J83" s="9"/>
      <c r="K83" s="9"/>
    </row>
    <row r="84" spans="1:11" s="2" customFormat="1" hidden="1">
      <c r="A84" s="32"/>
      <c r="B84" s="339"/>
      <c r="C84" s="339"/>
      <c r="D84" s="339"/>
      <c r="E84" s="339"/>
      <c r="F84" s="339"/>
      <c r="G84" s="339"/>
      <c r="H84" s="9"/>
      <c r="I84" s="9"/>
      <c r="J84" s="9"/>
      <c r="K84" s="9"/>
    </row>
    <row r="85" spans="1:11" s="2" customFormat="1" hidden="1">
      <c r="A85" s="32"/>
      <c r="B85" s="339"/>
      <c r="C85" s="339"/>
      <c r="D85" s="339"/>
      <c r="E85" s="339"/>
      <c r="F85" s="339"/>
      <c r="G85" s="339"/>
      <c r="H85" s="9"/>
      <c r="I85" s="9"/>
      <c r="J85" s="9"/>
      <c r="K85" s="9"/>
    </row>
    <row r="86" spans="1:11" s="2" customFormat="1" hidden="1">
      <c r="A86" s="32"/>
      <c r="B86" s="339"/>
      <c r="C86" s="339"/>
      <c r="D86" s="339"/>
      <c r="E86" s="339"/>
      <c r="F86" s="339"/>
      <c r="G86" s="339"/>
      <c r="H86" s="9"/>
      <c r="I86" s="9"/>
      <c r="J86" s="9"/>
      <c r="K86" s="9"/>
    </row>
    <row r="87" spans="1:11" s="2" customFormat="1" hidden="1">
      <c r="A87" s="32"/>
      <c r="B87" s="339"/>
      <c r="C87" s="339"/>
      <c r="D87" s="339"/>
      <c r="E87" s="339"/>
      <c r="F87" s="339"/>
      <c r="G87" s="339"/>
      <c r="H87" s="9"/>
      <c r="I87" s="9"/>
      <c r="J87" s="9"/>
      <c r="K87" s="9"/>
    </row>
    <row r="88" spans="1:11" s="2" customFormat="1" hidden="1">
      <c r="A88" s="32"/>
      <c r="B88" s="339"/>
      <c r="C88" s="339"/>
      <c r="D88" s="339"/>
      <c r="E88" s="339"/>
      <c r="F88" s="339"/>
      <c r="G88" s="339"/>
      <c r="H88" s="9"/>
      <c r="I88" s="9"/>
      <c r="J88" s="9"/>
      <c r="K88" s="9"/>
    </row>
    <row r="89" spans="1:11" s="2" customFormat="1" ht="14.25" customHeight="1">
      <c r="A89" s="32" t="s">
        <v>122</v>
      </c>
      <c r="B89" s="338" t="s">
        <v>301</v>
      </c>
      <c r="C89" s="339"/>
      <c r="D89" s="339"/>
      <c r="E89" s="339"/>
      <c r="F89" s="339"/>
      <c r="G89" s="339"/>
      <c r="H89" s="9"/>
      <c r="I89" s="9"/>
      <c r="J89" s="9"/>
      <c r="K89" s="9"/>
    </row>
    <row r="90" spans="1:11" s="2" customFormat="1" hidden="1">
      <c r="A90" s="32"/>
      <c r="B90" s="339"/>
      <c r="C90" s="339"/>
      <c r="D90" s="339"/>
      <c r="E90" s="339"/>
      <c r="F90" s="339"/>
      <c r="G90" s="339"/>
      <c r="H90" s="9"/>
      <c r="I90" s="9"/>
      <c r="J90" s="9"/>
      <c r="K90" s="9"/>
    </row>
    <row r="91" spans="1:11" s="2" customFormat="1" hidden="1">
      <c r="A91" s="32"/>
      <c r="B91" s="339"/>
      <c r="C91" s="339"/>
      <c r="D91" s="339"/>
      <c r="E91" s="339"/>
      <c r="F91" s="339"/>
      <c r="G91" s="339"/>
      <c r="H91" s="9"/>
      <c r="I91" s="9"/>
      <c r="J91" s="9"/>
      <c r="K91" s="9"/>
    </row>
    <row r="92" spans="1:11" s="2" customFormat="1" hidden="1">
      <c r="A92" s="32"/>
      <c r="B92" s="339"/>
      <c r="C92" s="339"/>
      <c r="D92" s="339"/>
      <c r="E92" s="339"/>
      <c r="F92" s="339"/>
      <c r="G92" s="339"/>
      <c r="H92" s="9"/>
      <c r="I92" s="9"/>
      <c r="J92" s="9"/>
      <c r="K92" s="9"/>
    </row>
    <row r="93" spans="1:11" s="2" customFormat="1" hidden="1">
      <c r="A93" s="32"/>
      <c r="B93" s="339"/>
      <c r="C93" s="339"/>
      <c r="D93" s="339"/>
      <c r="E93" s="339"/>
      <c r="F93" s="339"/>
      <c r="G93" s="339"/>
      <c r="H93" s="9"/>
      <c r="I93" s="9"/>
      <c r="J93" s="9"/>
      <c r="K93" s="9"/>
    </row>
    <row r="94" spans="1:11" s="2" customFormat="1" hidden="1">
      <c r="A94" s="32"/>
      <c r="B94" s="339"/>
      <c r="C94" s="339"/>
      <c r="D94" s="339"/>
      <c r="E94" s="339"/>
      <c r="F94" s="339"/>
      <c r="G94" s="339"/>
      <c r="H94" s="9"/>
      <c r="I94" s="9"/>
      <c r="J94" s="9"/>
      <c r="K94" s="9"/>
    </row>
    <row r="95" spans="1:11" s="2" customFormat="1" ht="14.5" thickBot="1">
      <c r="A95" s="32" t="s">
        <v>123</v>
      </c>
      <c r="B95" s="339" t="s">
        <v>160</v>
      </c>
      <c r="C95" s="339"/>
      <c r="D95" s="339"/>
      <c r="E95" s="339"/>
      <c r="F95" s="339"/>
      <c r="G95" s="339"/>
      <c r="H95" s="9"/>
      <c r="I95" s="9"/>
      <c r="J95" s="9"/>
      <c r="K95" s="9"/>
    </row>
    <row r="96" spans="1:11" s="2" customFormat="1" ht="14.5" hidden="1" thickBot="1">
      <c r="A96" s="32"/>
      <c r="B96" s="340"/>
      <c r="C96" s="340"/>
      <c r="D96" s="340"/>
      <c r="E96" s="340"/>
      <c r="F96" s="340"/>
      <c r="G96" s="340"/>
      <c r="H96" s="9"/>
      <c r="I96" s="9"/>
      <c r="J96" s="9"/>
      <c r="K96" s="9"/>
    </row>
    <row r="97" spans="1:11" s="2" customFormat="1" ht="14.5" hidden="1" thickBot="1">
      <c r="A97" s="32"/>
      <c r="B97" s="340"/>
      <c r="C97" s="340"/>
      <c r="D97" s="340"/>
      <c r="E97" s="340"/>
      <c r="F97" s="340"/>
      <c r="G97" s="340"/>
      <c r="H97" s="9"/>
      <c r="I97" s="9"/>
      <c r="J97" s="9"/>
      <c r="K97" s="9"/>
    </row>
    <row r="98" spans="1:11" s="2" customFormat="1">
      <c r="A98" s="345"/>
      <c r="B98" s="345"/>
      <c r="C98" s="345"/>
      <c r="D98" s="345"/>
      <c r="E98" s="345"/>
      <c r="F98" s="345"/>
      <c r="G98" s="345"/>
      <c r="H98" s="9"/>
      <c r="I98" s="9"/>
      <c r="J98" s="9"/>
      <c r="K98" s="9"/>
    </row>
    <row r="99" spans="1:11" s="20" customFormat="1">
      <c r="A99" s="364" t="s">
        <v>6</v>
      </c>
      <c r="B99" s="364"/>
      <c r="C99" s="364"/>
      <c r="D99" s="364"/>
      <c r="E99" s="364"/>
      <c r="F99" s="364"/>
      <c r="G99" s="364"/>
      <c r="H99" s="19"/>
      <c r="I99" s="19"/>
      <c r="J99" s="19"/>
      <c r="K99" s="19"/>
    </row>
    <row r="100" spans="1:11" s="2" customFormat="1" ht="14.5" thickBot="1">
      <c r="A100" s="363" t="s">
        <v>246</v>
      </c>
      <c r="B100" s="363"/>
      <c r="C100" s="363"/>
      <c r="D100" s="363"/>
      <c r="E100" s="363"/>
      <c r="F100" s="363"/>
      <c r="G100" s="363"/>
      <c r="H100" s="9"/>
      <c r="I100" s="9"/>
      <c r="J100" s="9"/>
      <c r="K100" s="9"/>
    </row>
    <row r="101" spans="1:11" s="2" customFormat="1">
      <c r="A101" s="4"/>
      <c r="B101" s="18"/>
      <c r="C101" s="4"/>
      <c r="D101" s="4"/>
      <c r="E101" s="4"/>
      <c r="F101" s="4"/>
      <c r="G101" s="4"/>
      <c r="H101" s="9"/>
      <c r="I101" s="9"/>
      <c r="J101" s="9"/>
      <c r="K101" s="9"/>
    </row>
    <row r="102" spans="1:11" s="2" customFormat="1">
      <c r="H102" s="9"/>
      <c r="I102" s="9"/>
      <c r="J102" s="9"/>
      <c r="K102" s="9"/>
    </row>
    <row r="103" spans="1:11" s="2" customFormat="1">
      <c r="H103" s="9"/>
      <c r="I103" s="9"/>
      <c r="J103" s="9"/>
      <c r="K103" s="9"/>
    </row>
    <row r="104" spans="1:11" s="2" customFormat="1">
      <c r="H104" s="9"/>
      <c r="I104" s="9"/>
      <c r="J104" s="9"/>
      <c r="K104" s="9"/>
    </row>
    <row r="105" spans="1:11" s="2" customFormat="1">
      <c r="H105" s="9"/>
      <c r="I105" s="9"/>
      <c r="J105" s="9"/>
      <c r="K105" s="9"/>
    </row>
    <row r="106" spans="1:11" s="2" customFormat="1">
      <c r="H106" s="9"/>
      <c r="I106" s="9"/>
      <c r="J106" s="9"/>
      <c r="K106" s="9"/>
    </row>
    <row r="107" spans="1:11" s="2" customFormat="1">
      <c r="H107" s="9"/>
      <c r="I107" s="9"/>
      <c r="J107" s="9"/>
      <c r="K107" s="9"/>
    </row>
    <row r="108" spans="1:11" s="2" customFormat="1"/>
    <row r="109" spans="1:11" s="2" customFormat="1"/>
    <row r="110" spans="1:11" s="2" customFormat="1"/>
    <row r="111" spans="1:11" s="2" customFormat="1"/>
    <row r="112" spans="1:11" s="2" customFormat="1"/>
    <row r="113" s="2" customFormat="1"/>
    <row r="114" s="2" customFormat="1"/>
    <row r="115" s="2" customFormat="1"/>
    <row r="116" s="2" customFormat="1"/>
    <row r="117" s="2" customFormat="1"/>
    <row r="118" s="2" customFormat="1"/>
    <row r="119" s="2" customFormat="1"/>
    <row r="120" s="2" customFormat="1"/>
    <row r="121" s="2" customFormat="1"/>
    <row r="122" s="2" customFormat="1"/>
    <row r="123" s="2" customFormat="1"/>
    <row r="124" s="2" customFormat="1"/>
    <row r="125" s="2" customFormat="1"/>
    <row r="126" s="2" customFormat="1"/>
    <row r="127" s="2" customFormat="1"/>
    <row r="128" s="2" customFormat="1"/>
    <row r="129" s="2" customFormat="1"/>
    <row r="130" s="2" customFormat="1"/>
    <row r="131" s="2" customFormat="1"/>
    <row r="132" s="2" customFormat="1"/>
    <row r="133" s="2" customFormat="1"/>
    <row r="134" s="2" customFormat="1"/>
    <row r="135" s="2" customFormat="1"/>
    <row r="136" s="2" customFormat="1"/>
    <row r="137" s="2" customFormat="1"/>
    <row r="138" s="2" customFormat="1"/>
    <row r="139" s="2" customFormat="1"/>
    <row r="140" s="2" customFormat="1"/>
    <row r="141" s="2" customFormat="1"/>
    <row r="142" s="2" customFormat="1"/>
    <row r="143" s="2" customFormat="1"/>
    <row r="144" s="2" customFormat="1"/>
    <row r="145" s="2" customFormat="1"/>
    <row r="146" s="2" customFormat="1"/>
    <row r="147" s="2" customFormat="1"/>
    <row r="148" s="2" customFormat="1"/>
    <row r="149" s="2" customFormat="1"/>
    <row r="150" s="2" customFormat="1"/>
    <row r="151" s="2" customFormat="1"/>
    <row r="152" s="2" customFormat="1"/>
    <row r="153" s="2" customFormat="1"/>
    <row r="154" s="2" customFormat="1"/>
    <row r="155" s="2" customFormat="1"/>
    <row r="156" s="2" customFormat="1"/>
    <row r="157" s="2" customFormat="1"/>
    <row r="158" s="2" customFormat="1"/>
    <row r="159" s="2" customFormat="1"/>
    <row r="160" s="2" customFormat="1"/>
    <row r="161" s="2" customFormat="1"/>
    <row r="162" s="2" customFormat="1"/>
    <row r="163" s="2" customFormat="1"/>
    <row r="164" s="2" customFormat="1"/>
    <row r="165" s="2" customFormat="1"/>
    <row r="166" s="2" customFormat="1"/>
    <row r="167" s="2" customFormat="1"/>
    <row r="168" s="2" customFormat="1"/>
    <row r="169" s="2" customFormat="1"/>
    <row r="170" s="2" customFormat="1"/>
    <row r="171" s="2" customFormat="1"/>
    <row r="172" s="2" customFormat="1"/>
    <row r="173" s="2" customFormat="1"/>
    <row r="174" s="2" customFormat="1"/>
    <row r="175" s="2" customFormat="1"/>
    <row r="176" s="2" customFormat="1"/>
    <row r="177" s="2" customFormat="1"/>
    <row r="178" s="2" customFormat="1"/>
    <row r="179" s="2" customFormat="1"/>
    <row r="180" s="2" customFormat="1"/>
    <row r="181" s="2" customFormat="1"/>
    <row r="182" s="2" customFormat="1"/>
    <row r="183" s="2" customFormat="1"/>
    <row r="184" s="2" customFormat="1"/>
    <row r="185" s="2" customFormat="1"/>
    <row r="186" s="2" customFormat="1"/>
    <row r="187" s="2" customFormat="1"/>
    <row r="188" s="2" customFormat="1"/>
    <row r="189" s="2" customFormat="1"/>
    <row r="190" s="2" customFormat="1"/>
    <row r="191" s="2" customFormat="1"/>
    <row r="192" s="2" customFormat="1"/>
    <row r="193" s="2" customFormat="1"/>
    <row r="194" s="2" customFormat="1"/>
    <row r="195" s="2" customFormat="1"/>
    <row r="196" s="2" customFormat="1"/>
    <row r="197" s="2" customFormat="1"/>
    <row r="198" s="2" customFormat="1"/>
    <row r="199" s="2" customFormat="1"/>
    <row r="200" s="2" customFormat="1"/>
    <row r="201" s="2" customFormat="1"/>
    <row r="202" s="2" customFormat="1"/>
    <row r="203" s="2" customFormat="1"/>
    <row r="204" s="2" customFormat="1"/>
    <row r="205" s="2" customFormat="1"/>
    <row r="206" s="2" customFormat="1"/>
    <row r="207" s="2" customFormat="1"/>
    <row r="208" s="2" customFormat="1"/>
    <row r="209" s="2" customFormat="1"/>
    <row r="210" s="2" customFormat="1"/>
    <row r="211" s="2" customFormat="1"/>
    <row r="212" s="2" customFormat="1"/>
    <row r="213" s="2" customFormat="1"/>
    <row r="214" s="2" customFormat="1"/>
    <row r="215" s="2" customFormat="1"/>
    <row r="216" s="2" customFormat="1"/>
    <row r="217" s="2" customFormat="1"/>
    <row r="218" s="2" customFormat="1"/>
    <row r="219" s="2" customFormat="1"/>
    <row r="220" s="2" customFormat="1"/>
    <row r="221" s="2" customFormat="1"/>
    <row r="222" s="2" customFormat="1"/>
    <row r="223" s="2" customFormat="1"/>
    <row r="224" s="2" customFormat="1"/>
    <row r="225" s="2" customFormat="1"/>
    <row r="226" s="2" customFormat="1"/>
    <row r="227" s="2" customFormat="1"/>
    <row r="228" s="2" customFormat="1"/>
    <row r="229" s="2" customFormat="1"/>
    <row r="230" s="2" customFormat="1"/>
    <row r="231" s="2" customFormat="1"/>
    <row r="232" s="2" customFormat="1"/>
    <row r="233" s="2" customFormat="1"/>
    <row r="234" s="2" customFormat="1"/>
    <row r="235" s="2" customFormat="1"/>
    <row r="236" s="2" customFormat="1"/>
    <row r="237" s="2" customFormat="1"/>
    <row r="238" s="2" customFormat="1"/>
    <row r="239" s="2" customFormat="1"/>
    <row r="240" s="2" customFormat="1"/>
    <row r="241" s="2" customFormat="1"/>
    <row r="242" s="2" customFormat="1"/>
    <row r="243" s="2" customFormat="1"/>
    <row r="244" s="2" customFormat="1"/>
    <row r="245" s="2" customFormat="1"/>
    <row r="246" s="2" customFormat="1"/>
    <row r="247" s="2" customFormat="1"/>
    <row r="248" s="2" customFormat="1"/>
    <row r="249" s="2" customFormat="1"/>
    <row r="250" s="2" customFormat="1"/>
    <row r="251" s="2" customFormat="1"/>
    <row r="252" s="2" customFormat="1"/>
    <row r="253" s="2" customFormat="1"/>
    <row r="254" s="2" customFormat="1"/>
    <row r="255" s="2" customFormat="1"/>
    <row r="256" s="2" customFormat="1"/>
    <row r="257" s="2" customFormat="1"/>
    <row r="258" s="2" customFormat="1"/>
    <row r="259" s="2" customFormat="1"/>
    <row r="260" s="2" customFormat="1"/>
    <row r="261" s="2" customFormat="1"/>
    <row r="262" s="2" customFormat="1"/>
    <row r="263" s="2" customFormat="1"/>
    <row r="264" s="2" customFormat="1"/>
    <row r="265" s="2" customFormat="1"/>
    <row r="266" s="2" customFormat="1"/>
    <row r="267" s="2" customFormat="1"/>
    <row r="268" s="2" customFormat="1"/>
    <row r="269" s="2" customFormat="1"/>
    <row r="270" s="2" customFormat="1"/>
    <row r="271" s="2" customFormat="1"/>
    <row r="272" s="2" customFormat="1"/>
    <row r="273" s="2" customFormat="1"/>
    <row r="274" s="2" customFormat="1"/>
    <row r="275" s="2" customFormat="1"/>
    <row r="276" s="2" customFormat="1"/>
    <row r="277" s="2" customFormat="1"/>
    <row r="278" s="2" customFormat="1"/>
    <row r="279" s="2" customFormat="1"/>
    <row r="280" s="2" customFormat="1"/>
    <row r="281" s="2" customFormat="1"/>
    <row r="282" s="2" customFormat="1"/>
    <row r="283" s="2" customFormat="1"/>
    <row r="284" s="2" customFormat="1"/>
    <row r="285" s="2" customFormat="1"/>
    <row r="286" s="2" customFormat="1"/>
    <row r="287" s="2" customFormat="1"/>
    <row r="288" s="2" customFormat="1"/>
    <row r="289" s="2" customFormat="1"/>
    <row r="290" s="2" customFormat="1"/>
    <row r="291" s="2" customFormat="1"/>
    <row r="292" s="2" customFormat="1"/>
    <row r="293" s="2" customFormat="1"/>
    <row r="294" s="2" customFormat="1"/>
    <row r="295" s="2" customFormat="1"/>
    <row r="296" s="2" customFormat="1"/>
    <row r="297" s="2" customFormat="1"/>
    <row r="298" s="2" customFormat="1"/>
    <row r="299" s="2" customFormat="1"/>
    <row r="300" s="2" customFormat="1"/>
    <row r="301" s="2" customFormat="1"/>
    <row r="302" s="2" customFormat="1"/>
    <row r="303" s="2" customFormat="1"/>
    <row r="304" s="2" customFormat="1"/>
    <row r="305" s="2" customFormat="1"/>
    <row r="306" s="2" customFormat="1"/>
    <row r="307" s="2" customFormat="1"/>
    <row r="308" s="2" customFormat="1"/>
    <row r="309" s="2" customFormat="1"/>
    <row r="310" s="2" customFormat="1"/>
    <row r="311" s="2" customFormat="1"/>
    <row r="312" s="2" customFormat="1"/>
    <row r="313" s="2" customFormat="1"/>
    <row r="314" s="2" customFormat="1"/>
    <row r="315" s="2" customFormat="1"/>
    <row r="316" s="2" customFormat="1"/>
    <row r="317" s="2" customFormat="1"/>
    <row r="318" s="2" customFormat="1"/>
    <row r="319" s="2" customFormat="1"/>
    <row r="320" s="2" customFormat="1"/>
    <row r="321" s="2" customFormat="1"/>
    <row r="322" s="2" customFormat="1"/>
    <row r="323" s="2" customFormat="1"/>
    <row r="324" s="2" customFormat="1"/>
    <row r="325" s="2" customFormat="1"/>
    <row r="326" s="2" customFormat="1"/>
    <row r="327" s="2" customFormat="1"/>
    <row r="328" s="2" customFormat="1"/>
    <row r="329" s="2" customFormat="1"/>
    <row r="330" s="2" customFormat="1"/>
    <row r="331" s="2" customFormat="1"/>
    <row r="332" s="2" customFormat="1"/>
    <row r="333" s="2" customFormat="1"/>
    <row r="334" s="2" customFormat="1"/>
    <row r="335" s="2" customFormat="1"/>
    <row r="336" s="2" customFormat="1"/>
    <row r="337" s="2" customFormat="1"/>
    <row r="338" s="2" customFormat="1"/>
    <row r="339" s="2" customFormat="1"/>
    <row r="340" s="2" customFormat="1"/>
    <row r="341" s="2" customFormat="1"/>
    <row r="342" s="2" customFormat="1"/>
    <row r="343" s="2" customFormat="1"/>
    <row r="344" s="2" customFormat="1"/>
    <row r="345" s="2" customFormat="1"/>
    <row r="346" s="2" customFormat="1"/>
    <row r="347" s="2" customFormat="1"/>
    <row r="348" s="2" customFormat="1"/>
    <row r="349" s="2" customFormat="1"/>
    <row r="350" s="2" customFormat="1"/>
    <row r="351" s="2" customFormat="1"/>
    <row r="352" s="2" customFormat="1"/>
    <row r="353" s="2" customFormat="1"/>
    <row r="354" s="2" customFormat="1"/>
    <row r="355" s="2" customFormat="1"/>
    <row r="356" s="2" customFormat="1"/>
    <row r="357" s="2" customFormat="1"/>
    <row r="358" s="2" customFormat="1"/>
    <row r="359" s="2" customFormat="1"/>
    <row r="360" s="2" customFormat="1"/>
    <row r="361" s="2" customFormat="1"/>
    <row r="362" s="2" customFormat="1"/>
    <row r="363" s="2" customFormat="1"/>
    <row r="364" s="2" customFormat="1"/>
    <row r="365" s="2" customFormat="1"/>
    <row r="366" s="2" customFormat="1"/>
    <row r="367" s="2" customFormat="1"/>
    <row r="368" s="2" customFormat="1"/>
    <row r="369" s="2" customFormat="1"/>
    <row r="370" s="2" customFormat="1"/>
    <row r="371" s="2" customFormat="1"/>
    <row r="372" s="2" customFormat="1"/>
    <row r="373" s="2" customFormat="1"/>
    <row r="374" s="2" customFormat="1"/>
    <row r="375" s="2" customFormat="1"/>
    <row r="376" s="2" customFormat="1"/>
    <row r="377" s="2" customFormat="1"/>
    <row r="378" s="2" customFormat="1"/>
    <row r="379" s="2" customFormat="1"/>
    <row r="380" s="2" customFormat="1"/>
    <row r="381" s="2" customFormat="1"/>
    <row r="382" s="2" customFormat="1"/>
    <row r="383" s="2" customFormat="1"/>
    <row r="384" s="2" customFormat="1"/>
    <row r="385" s="2" customFormat="1"/>
    <row r="386" s="2" customFormat="1"/>
    <row r="387" s="2" customFormat="1"/>
    <row r="388" s="2" customFormat="1"/>
    <row r="389" s="2" customFormat="1"/>
    <row r="390" s="2" customFormat="1"/>
    <row r="391" s="2" customFormat="1"/>
    <row r="392" s="2" customFormat="1"/>
    <row r="393" s="2" customFormat="1"/>
    <row r="394" s="2" customFormat="1"/>
    <row r="395" s="2" customFormat="1"/>
    <row r="396" s="2" customFormat="1"/>
    <row r="397" s="2" customFormat="1"/>
    <row r="398" s="2" customFormat="1"/>
    <row r="399" s="2" customFormat="1"/>
    <row r="400" s="2" customFormat="1"/>
    <row r="401" s="2" customFormat="1"/>
    <row r="402" s="2" customFormat="1"/>
    <row r="403" s="2" customFormat="1"/>
    <row r="404" s="2" customFormat="1"/>
    <row r="405" s="2" customFormat="1"/>
    <row r="406" s="2" customFormat="1"/>
    <row r="407" s="2" customFormat="1"/>
    <row r="408" s="2" customFormat="1"/>
    <row r="409" s="2" customFormat="1"/>
    <row r="410" s="2" customFormat="1"/>
    <row r="411" s="2" customFormat="1"/>
    <row r="412" s="2" customFormat="1"/>
    <row r="413" s="2" customFormat="1"/>
    <row r="414" s="2" customFormat="1"/>
    <row r="415" s="2" customFormat="1"/>
    <row r="416" s="2" customFormat="1"/>
    <row r="417" s="2" customFormat="1"/>
    <row r="418" s="2" customFormat="1"/>
    <row r="419" s="2" customFormat="1"/>
    <row r="420" s="2" customFormat="1"/>
    <row r="421" s="2" customFormat="1"/>
    <row r="422" s="2" customFormat="1"/>
    <row r="423" s="2" customFormat="1"/>
    <row r="424" s="2" customFormat="1"/>
    <row r="425" s="2" customFormat="1"/>
    <row r="426" s="2" customFormat="1"/>
    <row r="427" s="2" customFormat="1"/>
    <row r="428" s="2" customFormat="1"/>
    <row r="429" s="2" customFormat="1"/>
    <row r="430" s="2" customFormat="1"/>
    <row r="431" s="2" customFormat="1"/>
    <row r="432" s="2" customFormat="1"/>
    <row r="433" s="2" customFormat="1"/>
    <row r="434" s="2" customFormat="1"/>
    <row r="435" s="2" customFormat="1"/>
    <row r="436" s="2" customFormat="1"/>
    <row r="437" s="2" customFormat="1"/>
    <row r="438" s="2" customFormat="1"/>
    <row r="439" s="2" customFormat="1"/>
    <row r="440" s="2" customFormat="1"/>
    <row r="441" s="2" customFormat="1"/>
    <row r="442" s="2" customFormat="1"/>
    <row r="443" s="2" customFormat="1"/>
    <row r="444" s="2" customFormat="1"/>
    <row r="445" s="2" customFormat="1"/>
    <row r="446" s="2" customFormat="1"/>
    <row r="447" s="2" customFormat="1"/>
    <row r="448" s="2" customFormat="1"/>
    <row r="449" s="2" customFormat="1"/>
    <row r="450" s="2" customFormat="1"/>
    <row r="451" s="2" customFormat="1"/>
    <row r="452" s="2" customFormat="1"/>
    <row r="453" s="2" customFormat="1"/>
    <row r="454" s="2" customFormat="1"/>
    <row r="455" s="2" customFormat="1"/>
    <row r="456" s="2" customFormat="1"/>
    <row r="457" s="2" customFormat="1"/>
    <row r="458" s="2" customFormat="1"/>
    <row r="459" s="2" customFormat="1"/>
    <row r="460" s="2" customFormat="1"/>
    <row r="461" s="2" customFormat="1"/>
    <row r="462" s="2" customFormat="1"/>
    <row r="463" s="2" customFormat="1"/>
    <row r="464" s="2" customFormat="1"/>
    <row r="465" s="2" customFormat="1"/>
    <row r="466" s="2" customFormat="1"/>
    <row r="467" s="2" customFormat="1"/>
    <row r="468" s="2" customFormat="1"/>
    <row r="469" s="2" customFormat="1"/>
    <row r="470" s="2" customFormat="1"/>
    <row r="471" s="2" customFormat="1"/>
    <row r="472" s="2" customFormat="1"/>
    <row r="473" s="2" customFormat="1"/>
    <row r="474" s="2" customFormat="1"/>
    <row r="475" s="2" customFormat="1"/>
    <row r="476" s="2" customFormat="1"/>
    <row r="477" s="2" customFormat="1"/>
    <row r="478" s="2" customFormat="1"/>
    <row r="479" s="2" customFormat="1"/>
    <row r="480" s="2" customFormat="1"/>
    <row r="481" s="2" customFormat="1"/>
    <row r="482" s="2" customFormat="1"/>
    <row r="483" s="2" customFormat="1"/>
    <row r="484" s="2" customFormat="1"/>
    <row r="485" s="2" customFormat="1"/>
    <row r="486" s="2" customFormat="1"/>
    <row r="487" s="2" customFormat="1"/>
    <row r="488" s="2" customFormat="1"/>
    <row r="489" s="2" customFormat="1"/>
    <row r="490" s="2" customFormat="1"/>
    <row r="491" s="2" customFormat="1"/>
    <row r="492" s="2" customFormat="1"/>
    <row r="493" s="2" customFormat="1"/>
    <row r="494" s="2" customFormat="1"/>
    <row r="495" s="2" customFormat="1"/>
    <row r="496" s="2" customFormat="1"/>
    <row r="497" s="2" customFormat="1"/>
    <row r="498" s="2" customFormat="1"/>
    <row r="499" s="2" customFormat="1"/>
    <row r="500" s="2" customFormat="1"/>
    <row r="501" s="2" customFormat="1"/>
    <row r="502" s="2" customFormat="1"/>
    <row r="503" s="2" customFormat="1"/>
    <row r="504" s="2" customFormat="1"/>
    <row r="505" s="2" customFormat="1"/>
    <row r="506" s="2" customFormat="1"/>
    <row r="507" s="2" customFormat="1"/>
    <row r="508" s="2" customFormat="1"/>
    <row r="509" s="2" customFormat="1"/>
    <row r="510" s="2" customFormat="1"/>
    <row r="511" s="2" customFormat="1"/>
    <row r="512" s="2" customFormat="1"/>
    <row r="513" s="2" customFormat="1"/>
    <row r="514" s="2" customFormat="1"/>
    <row r="515" s="2" customFormat="1"/>
    <row r="516" s="2" customFormat="1"/>
    <row r="517" s="2" customFormat="1"/>
    <row r="518" s="2" customFormat="1"/>
    <row r="519" s="2" customFormat="1"/>
    <row r="520" s="2" customFormat="1"/>
    <row r="521" s="2" customFormat="1"/>
    <row r="522" s="2" customFormat="1"/>
    <row r="523" s="2" customFormat="1"/>
    <row r="524" s="2" customFormat="1"/>
    <row r="525" s="2" customFormat="1"/>
    <row r="526" s="2" customFormat="1"/>
    <row r="527" s="2" customFormat="1"/>
    <row r="528" s="2" customFormat="1"/>
    <row r="529" s="2" customFormat="1"/>
    <row r="530" s="2" customFormat="1"/>
    <row r="531" s="2" customFormat="1"/>
    <row r="532" s="2" customFormat="1"/>
    <row r="533" s="2" customFormat="1"/>
    <row r="534" s="2" customFormat="1"/>
    <row r="535" s="2" customFormat="1"/>
    <row r="536" s="2" customFormat="1"/>
    <row r="537" s="2" customFormat="1"/>
    <row r="538" s="2" customFormat="1"/>
    <row r="539" s="2" customFormat="1"/>
    <row r="540" s="2" customFormat="1"/>
    <row r="541" s="2" customFormat="1"/>
    <row r="542" s="2" customFormat="1"/>
    <row r="543" s="2" customFormat="1"/>
    <row r="544" s="2" customFormat="1"/>
    <row r="545" s="2" customFormat="1"/>
    <row r="546" s="2" customFormat="1"/>
    <row r="547" s="2" customFormat="1"/>
    <row r="548" s="2" customFormat="1"/>
    <row r="549" s="2" customFormat="1"/>
    <row r="550" s="2" customFormat="1"/>
    <row r="551" s="2" customFormat="1"/>
    <row r="552" s="2" customFormat="1"/>
    <row r="553" s="2" customFormat="1"/>
    <row r="554" s="2" customFormat="1"/>
  </sheetData>
  <sheetProtection formatCells="0"/>
  <mergeCells count="119">
    <mergeCell ref="A47:G47"/>
    <mergeCell ref="B42:G42"/>
    <mergeCell ref="D45:E45"/>
    <mergeCell ref="A43:G43"/>
    <mergeCell ref="A44:G44"/>
    <mergeCell ref="B45:C45"/>
    <mergeCell ref="F45:G45"/>
    <mergeCell ref="A46:G46"/>
    <mergeCell ref="A100:G100"/>
    <mergeCell ref="B64:C64"/>
    <mergeCell ref="B68:G68"/>
    <mergeCell ref="B50:C50"/>
    <mergeCell ref="B48:C48"/>
    <mergeCell ref="B83:G83"/>
    <mergeCell ref="A98:G98"/>
    <mergeCell ref="A99:G99"/>
    <mergeCell ref="A76:G76"/>
    <mergeCell ref="A71:G71"/>
    <mergeCell ref="A66:G66"/>
    <mergeCell ref="B72:G72"/>
    <mergeCell ref="B73:G73"/>
    <mergeCell ref="B74:G74"/>
    <mergeCell ref="B77:G77"/>
    <mergeCell ref="A70:G70"/>
    <mergeCell ref="A1:G1"/>
    <mergeCell ref="A10:G10"/>
    <mergeCell ref="B20:G20"/>
    <mergeCell ref="B13:G13"/>
    <mergeCell ref="B11:G11"/>
    <mergeCell ref="B12:G12"/>
    <mergeCell ref="B14:G14"/>
    <mergeCell ref="B15:G15"/>
    <mergeCell ref="A2:G2"/>
    <mergeCell ref="A5:G5"/>
    <mergeCell ref="A9:G9"/>
    <mergeCell ref="A4:G4"/>
    <mergeCell ref="A3:G3"/>
    <mergeCell ref="B6:G6"/>
    <mergeCell ref="B7:G7"/>
    <mergeCell ref="B8:G8"/>
    <mergeCell ref="A22:G22"/>
    <mergeCell ref="B18:G18"/>
    <mergeCell ref="B16:G16"/>
    <mergeCell ref="B17:G17"/>
    <mergeCell ref="B29:G29"/>
    <mergeCell ref="B19:G19"/>
    <mergeCell ref="A21:G21"/>
    <mergeCell ref="B26:G26"/>
    <mergeCell ref="B27:G27"/>
    <mergeCell ref="B25:G25"/>
    <mergeCell ref="B23:G23"/>
    <mergeCell ref="B38:G38"/>
    <mergeCell ref="B39:G39"/>
    <mergeCell ref="B32:G32"/>
    <mergeCell ref="B33:G33"/>
    <mergeCell ref="B34:G34"/>
    <mergeCell ref="B35:G35"/>
    <mergeCell ref="B36:G36"/>
    <mergeCell ref="B30:G30"/>
    <mergeCell ref="B31:G31"/>
    <mergeCell ref="B97:G97"/>
    <mergeCell ref="B84:G84"/>
    <mergeCell ref="B86:G86"/>
    <mergeCell ref="B87:G87"/>
    <mergeCell ref="B88:G88"/>
    <mergeCell ref="B40:G40"/>
    <mergeCell ref="B41:G41"/>
    <mergeCell ref="B28:G28"/>
    <mergeCell ref="B24:G24"/>
    <mergeCell ref="A75:G75"/>
    <mergeCell ref="E48:G48"/>
    <mergeCell ref="E49:G49"/>
    <mergeCell ref="E50:G50"/>
    <mergeCell ref="E64:G64"/>
    <mergeCell ref="B49:C49"/>
    <mergeCell ref="A65:G65"/>
    <mergeCell ref="B67:G67"/>
    <mergeCell ref="B69:G69"/>
    <mergeCell ref="B51:C51"/>
    <mergeCell ref="B52:C52"/>
    <mergeCell ref="B53:C53"/>
    <mergeCell ref="B54:C54"/>
    <mergeCell ref="B55:C55"/>
    <mergeCell ref="B37:G37"/>
    <mergeCell ref="B78:G78"/>
    <mergeCell ref="B85:G85"/>
    <mergeCell ref="B91:G91"/>
    <mergeCell ref="B96:G96"/>
    <mergeCell ref="B89:G89"/>
    <mergeCell ref="B94:G94"/>
    <mergeCell ref="B95:G95"/>
    <mergeCell ref="B90:G90"/>
    <mergeCell ref="B92:G92"/>
    <mergeCell ref="B93:G93"/>
    <mergeCell ref="B79:G79"/>
    <mergeCell ref="B80:G80"/>
    <mergeCell ref="B81:G81"/>
    <mergeCell ref="B82:G82"/>
    <mergeCell ref="B62:C62"/>
    <mergeCell ref="B63:C63"/>
    <mergeCell ref="E51:G51"/>
    <mergeCell ref="E52:G52"/>
    <mergeCell ref="E53:G53"/>
    <mergeCell ref="E54:G54"/>
    <mergeCell ref="E55:G55"/>
    <mergeCell ref="E56:G56"/>
    <mergeCell ref="E57:G57"/>
    <mergeCell ref="E59:G59"/>
    <mergeCell ref="E58:G58"/>
    <mergeCell ref="E60:G60"/>
    <mergeCell ref="E61:G61"/>
    <mergeCell ref="E62:G62"/>
    <mergeCell ref="E63:G63"/>
    <mergeCell ref="B57:C57"/>
    <mergeCell ref="B58:C58"/>
    <mergeCell ref="B59:C59"/>
    <mergeCell ref="B60:C60"/>
    <mergeCell ref="B61:C61"/>
    <mergeCell ref="B56:C56"/>
  </mergeCells>
  <phoneticPr fontId="9" type="noConversion"/>
  <dataValidations xWindow="511" yWindow="580" count="3">
    <dataValidation type="list" allowBlank="1" showInputMessage="1" promptTitle="Please use a complete sentence." prompt="If the well status is cased, state what it is cased for. _x000a__x000a_Example: &quot;Cased for potential Glauconitic oil production.&quot;" sqref="A100" xr:uid="{00000000-0002-0000-0000-000000000000}">
      <formula1>"Cased for,Abandoned,Confidential,N/A"</formula1>
      <formula2>0</formula2>
    </dataValidation>
    <dataValidation type="list" allowBlank="1" sqref="B41" xr:uid="{00000000-0002-0000-0000-000001000000}">
      <formula1>"Horizontal,Vertical,Deviated,Long reach deviated,Shingle,Multi-leg horizontal"</formula1>
      <formula2>0</formula2>
    </dataValidation>
    <dataValidation allowBlank="1" showInputMessage="1" promptTitle="Unique Well ID Examples:" prompt="_x000a_Alberta/Prairie: _x000a_100/3-10-54-19 W5/00_x000a__x000a_B.C.: _x000a_100/b-90-G/94-P-2_x000a__x000a_Saskatchewan: _x000a_191/3-2-30-19 W2/00_x000a_" sqref="B12:F13" xr:uid="{00000000-0002-0000-0000-000002000000}">
      <formula1>0</formula1>
      <formula2>0</formula2>
    </dataValidation>
  </dataValidations>
  <printOptions horizontalCentered="1"/>
  <pageMargins left="1" right="1" top="1.25" bottom="0.75" header="0.5" footer="0.3"/>
  <pageSetup firstPageNumber="0" orientation="portrait" r:id="rId1"/>
  <headerFooter>
    <oddHeader>&amp;R&amp;G</oddHeader>
    <oddFooter>&amp;L&amp;"Arial,Bold"&amp;K75004Bwww.rpsgroup.com&amp;R&amp;9&amp;K00-049&amp;P</oddFooter>
  </headerFooter>
  <rowBreaks count="1" manualBreakCount="1">
    <brk id="70" max="6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5" name="Button 1">
              <controlPr locked="0" defaultSize="0" print="0" autoFill="0" autoPict="0" macro="[0]!ShowLeg">
                <anchor moveWithCells="1" sizeWithCells="1">
                  <from>
                    <xdr:col>7</xdr:col>
                    <xdr:colOff>38100</xdr:colOff>
                    <xdr:row>21</xdr:row>
                    <xdr:rowOff>31750</xdr:rowOff>
                  </from>
                  <to>
                    <xdr:col>8</xdr:col>
                    <xdr:colOff>571500</xdr:colOff>
                    <xdr:row>21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6" name="Button 20">
              <controlPr defaultSize="0" print="0" autoFill="0" autoPict="0" macro="[0]!HideLeg">
                <anchor moveWithCells="1" sizeWithCells="1">
                  <from>
                    <xdr:col>9</xdr:col>
                    <xdr:colOff>31750</xdr:colOff>
                    <xdr:row>21</xdr:row>
                    <xdr:rowOff>31750</xdr:rowOff>
                  </from>
                  <to>
                    <xdr:col>9</xdr:col>
                    <xdr:colOff>584200</xdr:colOff>
                    <xdr:row>21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7" name="Button 37">
              <controlPr defaultSize="0" print="0" autoFill="0" autoPict="0" macro="[0]!ShowSample">
                <anchor moveWithCells="1" sizeWithCells="1">
                  <from>
                    <xdr:col>7</xdr:col>
                    <xdr:colOff>19050</xdr:colOff>
                    <xdr:row>76</xdr:row>
                    <xdr:rowOff>31750</xdr:rowOff>
                  </from>
                  <to>
                    <xdr:col>9</xdr:col>
                    <xdr:colOff>0</xdr:colOff>
                    <xdr:row>76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8" name="Button 45">
              <controlPr defaultSize="0" print="0" autoFill="0" autoPict="0" macro="[0]!HideSample">
                <anchor moveWithCells="1" sizeWithCells="1">
                  <from>
                    <xdr:col>9</xdr:col>
                    <xdr:colOff>38100</xdr:colOff>
                    <xdr:row>76</xdr:row>
                    <xdr:rowOff>31750</xdr:rowOff>
                  </from>
                  <to>
                    <xdr:col>9</xdr:col>
                    <xdr:colOff>590550</xdr:colOff>
                    <xdr:row>76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9" name="Button 51">
              <controlPr defaultSize="0" print="0" autoFill="0" autoPict="0" macro="[0]!ShowGasDet">
                <anchor moveWithCells="1" sizeWithCells="1">
                  <from>
                    <xdr:col>7</xdr:col>
                    <xdr:colOff>19050</xdr:colOff>
                    <xdr:row>82</xdr:row>
                    <xdr:rowOff>31750</xdr:rowOff>
                  </from>
                  <to>
                    <xdr:col>9</xdr:col>
                    <xdr:colOff>0</xdr:colOff>
                    <xdr:row>82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10" name="Button 56">
              <controlPr defaultSize="0" print="0" autoFill="0" autoPict="0" macro="[0]!HideGasDet">
                <anchor moveWithCells="1" sizeWithCells="1">
                  <from>
                    <xdr:col>9</xdr:col>
                    <xdr:colOff>38100</xdr:colOff>
                    <xdr:row>82</xdr:row>
                    <xdr:rowOff>38100</xdr:rowOff>
                  </from>
                  <to>
                    <xdr:col>9</xdr:col>
                    <xdr:colOff>590550</xdr:colOff>
                    <xdr:row>82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11" name="Button 61">
              <controlPr defaultSize="0" print="0" autoFill="0" autoPict="0" macro="[0]!ShowLogSuite">
                <anchor moveWithCells="1" sizeWithCells="1">
                  <from>
                    <xdr:col>7</xdr:col>
                    <xdr:colOff>19050</xdr:colOff>
                    <xdr:row>88</xdr:row>
                    <xdr:rowOff>31750</xdr:rowOff>
                  </from>
                  <to>
                    <xdr:col>9</xdr:col>
                    <xdr:colOff>0</xdr:colOff>
                    <xdr:row>88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12" name="Button 66">
              <controlPr defaultSize="0" print="0" autoFill="0" autoPict="0" macro="[0]!HideLogSuite">
                <anchor moveWithCells="1" sizeWithCells="1">
                  <from>
                    <xdr:col>9</xdr:col>
                    <xdr:colOff>50800</xdr:colOff>
                    <xdr:row>88</xdr:row>
                    <xdr:rowOff>31750</xdr:rowOff>
                  </from>
                  <to>
                    <xdr:col>10</xdr:col>
                    <xdr:colOff>0</xdr:colOff>
                    <xdr:row>88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13" name="Button 71">
              <controlPr defaultSize="0" print="0" autoFill="0" autoPict="0" macro="[0]!ShowCore">
                <anchor moveWithCells="1" sizeWithCells="1">
                  <from>
                    <xdr:col>7</xdr:col>
                    <xdr:colOff>19050</xdr:colOff>
                    <xdr:row>94</xdr:row>
                    <xdr:rowOff>31750</xdr:rowOff>
                  </from>
                  <to>
                    <xdr:col>9</xdr:col>
                    <xdr:colOff>0</xdr:colOff>
                    <xdr:row>94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14" name="Button 76">
              <controlPr defaultSize="0" print="0" autoFill="0" autoPict="0" macro="[0]!HideCore">
                <anchor moveWithCells="1" sizeWithCells="1">
                  <from>
                    <xdr:col>9</xdr:col>
                    <xdr:colOff>50800</xdr:colOff>
                    <xdr:row>94</xdr:row>
                    <xdr:rowOff>31750</xdr:rowOff>
                  </from>
                  <to>
                    <xdr:col>9</xdr:col>
                    <xdr:colOff>603250</xdr:colOff>
                    <xdr:row>94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15" name="Button 77">
              <controlPr defaultSize="0" print="0" autoFill="0" autoPict="0" macro="[0]!ExpandHeight">
                <anchor moveWithCells="1" sizeWithCells="1">
                  <from>
                    <xdr:col>7</xdr:col>
                    <xdr:colOff>12700</xdr:colOff>
                    <xdr:row>65</xdr:row>
                    <xdr:rowOff>19050</xdr:rowOff>
                  </from>
                  <to>
                    <xdr:col>9</xdr:col>
                    <xdr:colOff>0</xdr:colOff>
                    <xdr:row>65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16" name="Button 78">
              <controlPr defaultSize="0" print="0" autoFill="0" autoPict="0" macro="[0]!CollapseHeight">
                <anchor moveWithCells="1" sizeWithCells="1">
                  <from>
                    <xdr:col>9</xdr:col>
                    <xdr:colOff>12700</xdr:colOff>
                    <xdr:row>65</xdr:row>
                    <xdr:rowOff>12700</xdr:rowOff>
                  </from>
                  <to>
                    <xdr:col>10</xdr:col>
                    <xdr:colOff>12700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17" name="Button 79">
              <controlPr defaultSize="0" print="0" autoFill="0" autoPict="0" macro="[0]!ShowTDDate">
                <anchor moveWithCells="1" sizeWithCells="1">
                  <from>
                    <xdr:col>7</xdr:col>
                    <xdr:colOff>31750</xdr:colOff>
                    <xdr:row>46</xdr:row>
                    <xdr:rowOff>12700</xdr:rowOff>
                  </from>
                  <to>
                    <xdr:col>9</xdr:col>
                    <xdr:colOff>12700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18" name="Button 80">
              <controlPr defaultSize="0" print="0" autoFill="0" autoPict="0" macro="[0]!HideTDDate">
                <anchor moveWithCells="1" sizeWithCells="1">
                  <from>
                    <xdr:col>9</xdr:col>
                    <xdr:colOff>38100</xdr:colOff>
                    <xdr:row>46</xdr:row>
                    <xdr:rowOff>12700</xdr:rowOff>
                  </from>
                  <to>
                    <xdr:col>9</xdr:col>
                    <xdr:colOff>590550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pageSetUpPr fitToPage="1"/>
  </sheetPr>
  <dimension ref="A1:Y492"/>
  <sheetViews>
    <sheetView showZeros="0" topLeftCell="A6" zoomScaleNormal="100" zoomScaleSheetLayoutView="100" workbookViewId="0">
      <selection activeCell="F28" sqref="F28"/>
    </sheetView>
  </sheetViews>
  <sheetFormatPr defaultColWidth="9.1796875" defaultRowHeight="12.5"/>
  <cols>
    <col min="1" max="1" width="25.453125" style="40" customWidth="1"/>
    <col min="2" max="2" width="8.7265625" style="8" customWidth="1"/>
    <col min="3" max="3" width="9.453125" style="8" bestFit="1" customWidth="1"/>
    <col min="4" max="4" width="8.7265625" style="8" customWidth="1"/>
    <col min="5" max="5" width="9.453125" style="8" bestFit="1" customWidth="1"/>
    <col min="6" max="13" width="8.7265625" style="8" customWidth="1"/>
    <col min="14" max="14" width="11.54296875" style="8" customWidth="1"/>
    <col min="15" max="18" width="9.1796875" style="8" customWidth="1"/>
    <col min="19" max="20" width="9.1796875" style="8"/>
    <col min="21" max="25" width="9.1796875" style="121"/>
    <col min="26" max="16384" width="9.1796875" style="8"/>
  </cols>
  <sheetData>
    <row r="1" spans="1:25" s="15" customFormat="1" ht="23">
      <c r="A1" s="350" t="s">
        <v>7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14"/>
      <c r="P1" s="14"/>
      <c r="Q1" s="14"/>
      <c r="U1" s="120"/>
      <c r="V1" s="120"/>
      <c r="W1" s="120"/>
      <c r="X1" s="120"/>
      <c r="Y1" s="120"/>
    </row>
    <row r="2" spans="1:25" s="1" customFormat="1" ht="15.65" customHeight="1">
      <c r="A2" s="368" t="s">
        <v>101</v>
      </c>
      <c r="B2" s="368"/>
      <c r="C2" s="368"/>
      <c r="D2" s="368"/>
      <c r="E2" s="368"/>
      <c r="F2" s="368"/>
      <c r="G2" s="368"/>
      <c r="H2" s="368"/>
      <c r="I2" s="368"/>
      <c r="J2" s="368"/>
      <c r="K2" s="368"/>
      <c r="L2" s="368"/>
      <c r="M2" s="368"/>
      <c r="U2" s="65"/>
      <c r="V2" s="65"/>
      <c r="W2" s="65"/>
      <c r="X2" s="65"/>
      <c r="Y2" s="65"/>
    </row>
    <row r="3" spans="1:25" s="2" customFormat="1" ht="15.75" customHeight="1">
      <c r="A3" s="41" t="s">
        <v>81</v>
      </c>
      <c r="B3" s="375">
        <f>'Well Data'!B45</f>
        <v>684.6</v>
      </c>
      <c r="C3" s="375"/>
      <c r="H3" s="369"/>
      <c r="I3" s="369"/>
      <c r="L3" s="369"/>
      <c r="M3" s="369"/>
      <c r="N3" s="13"/>
      <c r="R3" s="2" t="s">
        <v>8</v>
      </c>
      <c r="U3" s="4"/>
      <c r="V3" s="4"/>
      <c r="W3" s="4"/>
      <c r="X3" s="4"/>
      <c r="Y3" s="4"/>
    </row>
    <row r="4" spans="1:25" s="2" customFormat="1" ht="15.75" customHeight="1">
      <c r="A4" s="42" t="s">
        <v>80</v>
      </c>
      <c r="B4" s="376">
        <f>'Well Data'!F45</f>
        <v>688.9</v>
      </c>
      <c r="C4" s="376"/>
      <c r="D4" s="11"/>
      <c r="E4" s="11"/>
      <c r="F4" s="12"/>
      <c r="G4" s="11"/>
      <c r="H4" s="11"/>
      <c r="I4" s="11"/>
      <c r="J4" s="12"/>
      <c r="K4" s="11"/>
      <c r="L4" s="11"/>
      <c r="M4" s="11"/>
      <c r="N4" s="13"/>
      <c r="U4" s="4"/>
      <c r="V4" s="4"/>
      <c r="W4" s="4"/>
      <c r="X4" s="4"/>
      <c r="Y4" s="4"/>
    </row>
    <row r="5" spans="1:25" s="2" customFormat="1" ht="15.75" customHeight="1">
      <c r="A5" s="42"/>
      <c r="B5" s="26"/>
      <c r="C5" s="25"/>
      <c r="D5" s="55"/>
      <c r="E5" s="55"/>
      <c r="F5" s="12"/>
      <c r="G5" s="55"/>
      <c r="H5" s="55"/>
      <c r="I5" s="55"/>
      <c r="J5" s="12"/>
      <c r="K5" s="55"/>
      <c r="L5" s="55"/>
      <c r="M5" s="55"/>
      <c r="N5" s="13"/>
      <c r="U5" s="4"/>
      <c r="V5" s="4"/>
      <c r="W5" s="4"/>
      <c r="X5" s="4"/>
      <c r="Y5" s="4"/>
    </row>
    <row r="6" spans="1:25" s="2" customFormat="1" ht="15.75" customHeight="1">
      <c r="A6" s="38"/>
      <c r="B6" s="10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U6" s="4"/>
      <c r="V6" s="4"/>
      <c r="W6" s="4"/>
      <c r="X6" s="4"/>
      <c r="Y6" s="4"/>
    </row>
    <row r="7" spans="1:25" s="2" customFormat="1" ht="15.75" customHeight="1">
      <c r="A7" s="370" t="s">
        <v>82</v>
      </c>
      <c r="B7" s="372" t="s">
        <v>83</v>
      </c>
      <c r="C7" s="373"/>
      <c r="D7" s="373"/>
      <c r="E7" s="374"/>
      <c r="F7" s="372" t="s">
        <v>84</v>
      </c>
      <c r="G7" s="373"/>
      <c r="H7" s="373"/>
      <c r="I7" s="374"/>
      <c r="J7" s="372" t="s">
        <v>96</v>
      </c>
      <c r="K7" s="373"/>
      <c r="L7" s="373"/>
      <c r="M7" s="374"/>
      <c r="N7" s="365" t="s">
        <v>113</v>
      </c>
      <c r="O7" s="4"/>
      <c r="P7" s="4"/>
      <c r="Q7" s="4"/>
      <c r="R7" s="4"/>
      <c r="S7" s="4"/>
      <c r="U7" s="4"/>
      <c r="V7" s="4"/>
      <c r="W7" s="4"/>
      <c r="X7" s="4"/>
      <c r="Y7" s="4"/>
    </row>
    <row r="8" spans="1:25" s="2" customFormat="1" ht="26.25" customHeight="1">
      <c r="A8" s="371"/>
      <c r="B8" s="66" t="s">
        <v>109</v>
      </c>
      <c r="C8" s="67" t="s">
        <v>110</v>
      </c>
      <c r="D8" s="67" t="s">
        <v>111</v>
      </c>
      <c r="E8" s="68" t="s">
        <v>9</v>
      </c>
      <c r="F8" s="66" t="s">
        <v>109</v>
      </c>
      <c r="G8" s="67" t="s">
        <v>112</v>
      </c>
      <c r="H8" s="67" t="s">
        <v>111</v>
      </c>
      <c r="I8" s="68" t="s">
        <v>9</v>
      </c>
      <c r="J8" s="66" t="s">
        <v>109</v>
      </c>
      <c r="K8" s="67" t="s">
        <v>112</v>
      </c>
      <c r="L8" s="67" t="s">
        <v>111</v>
      </c>
      <c r="M8" s="68" t="s">
        <v>9</v>
      </c>
      <c r="N8" s="366"/>
      <c r="U8" s="4"/>
      <c r="V8" s="4"/>
      <c r="W8" s="4"/>
      <c r="X8" s="4"/>
      <c r="Y8" s="4"/>
    </row>
    <row r="9" spans="1:25" s="2" customFormat="1" ht="15.75" customHeight="1">
      <c r="A9" s="69" t="s">
        <v>277</v>
      </c>
      <c r="B9" s="72">
        <v>127.4</v>
      </c>
      <c r="C9" s="323">
        <f>B$4-D9</f>
        <v>127.39999999999998</v>
      </c>
      <c r="D9" s="324">
        <v>561.5</v>
      </c>
      <c r="E9" s="325">
        <f>IF(ISERR(Prog_ISO),"-",(Prog_ISO))</f>
        <v>62.300000000000011</v>
      </c>
      <c r="F9" s="72">
        <v>127.1</v>
      </c>
      <c r="G9" s="324">
        <v>127.1</v>
      </c>
      <c r="H9" s="324">
        <f>B$4-G9</f>
        <v>561.79999999999995</v>
      </c>
      <c r="I9" s="325">
        <f>IF(AND(H10=0,H9&lt;&gt;0),"-",H9-H10)</f>
        <v>63.199999999999989</v>
      </c>
      <c r="J9" s="326"/>
      <c r="K9" s="327"/>
      <c r="L9" s="328">
        <f t="shared" ref="L9:L17" si="0">IF(K9=0,0,$B$4-K9)</f>
        <v>0</v>
      </c>
      <c r="M9" s="325">
        <f>IF(AND(L10=0,L9&lt;&gt;0),"-",L9-L10)</f>
        <v>0</v>
      </c>
      <c r="N9" s="329">
        <f>H9-D9</f>
        <v>0.29999999999995453</v>
      </c>
      <c r="U9" s="4"/>
      <c r="V9" s="4"/>
      <c r="W9" s="4"/>
      <c r="X9" s="4"/>
      <c r="Y9" s="4"/>
    </row>
    <row r="10" spans="1:25" s="2" customFormat="1" ht="15.75" customHeight="1">
      <c r="A10" s="70" t="s">
        <v>266</v>
      </c>
      <c r="B10" s="72">
        <v>189.7</v>
      </c>
      <c r="C10" s="323">
        <f>B$4-D10</f>
        <v>189.7</v>
      </c>
      <c r="D10" s="324">
        <v>499.2</v>
      </c>
      <c r="E10" s="325">
        <f>IF(ISERR(Prog_ISO),"-",(Prog_ISO))</f>
        <v>64.199999999999989</v>
      </c>
      <c r="F10" s="72">
        <v>190.3</v>
      </c>
      <c r="G10" s="324">
        <v>190.3</v>
      </c>
      <c r="H10" s="324">
        <f t="shared" ref="H10:H17" si="1">B$4-G10</f>
        <v>498.59999999999997</v>
      </c>
      <c r="I10" s="325">
        <f t="shared" ref="I10:I16" si="2">IF(AND(H11=0,H10&lt;&gt;0),"-",H10-H11)</f>
        <v>64.300000000000011</v>
      </c>
      <c r="J10" s="326"/>
      <c r="K10" s="327"/>
      <c r="L10" s="328">
        <f t="shared" si="0"/>
        <v>0</v>
      </c>
      <c r="M10" s="325">
        <f t="shared" ref="M10:M16" si="3">IF(AND(L11=0,L10&lt;&gt;0),"-",L10-L11)</f>
        <v>0</v>
      </c>
      <c r="N10" s="329">
        <f t="shared" ref="N10:N14" si="4">H10-D10</f>
        <v>-0.60000000000002274</v>
      </c>
      <c r="S10" s="4"/>
      <c r="U10" s="4"/>
      <c r="V10" s="4"/>
      <c r="W10" s="4"/>
      <c r="X10" s="4"/>
      <c r="Y10" s="4"/>
    </row>
    <row r="11" spans="1:25" s="2" customFormat="1" ht="15.75" customHeight="1">
      <c r="A11" s="70" t="s">
        <v>255</v>
      </c>
      <c r="B11" s="72">
        <v>254.2</v>
      </c>
      <c r="C11" s="323">
        <f>B$4-D11</f>
        <v>253.89999999999998</v>
      </c>
      <c r="D11" s="324">
        <v>435</v>
      </c>
      <c r="E11" s="325">
        <f>IF(ISERR(Prog_ISO),"-",(Prog_ISO))</f>
        <v>31.100000000000023</v>
      </c>
      <c r="F11" s="72">
        <v>254.6</v>
      </c>
      <c r="G11" s="324">
        <v>254.6</v>
      </c>
      <c r="H11" s="324">
        <f t="shared" si="1"/>
        <v>434.29999999999995</v>
      </c>
      <c r="I11" s="325">
        <f t="shared" si="2"/>
        <v>27.399999999999977</v>
      </c>
      <c r="J11" s="72"/>
      <c r="K11" s="324"/>
      <c r="L11" s="328">
        <f t="shared" si="0"/>
        <v>0</v>
      </c>
      <c r="M11" s="325">
        <f t="shared" si="3"/>
        <v>0</v>
      </c>
      <c r="N11" s="329">
        <f t="shared" si="4"/>
        <v>-0.70000000000004547</v>
      </c>
      <c r="U11" s="4"/>
      <c r="V11" s="4"/>
      <c r="W11" s="4"/>
      <c r="X11" s="4"/>
      <c r="Y11" s="4"/>
    </row>
    <row r="12" spans="1:25" s="2" customFormat="1" ht="15.75" customHeight="1">
      <c r="A12" s="70" t="s">
        <v>250</v>
      </c>
      <c r="B12" s="72">
        <v>285</v>
      </c>
      <c r="C12" s="323">
        <f>B$4-D12</f>
        <v>285</v>
      </c>
      <c r="D12" s="324">
        <v>403.9</v>
      </c>
      <c r="E12" s="325">
        <f>IF(ISERR(Prog_ISO),"-",(Prog_ISO))</f>
        <v>62.399999999999977</v>
      </c>
      <c r="F12" s="72">
        <v>282</v>
      </c>
      <c r="G12" s="324">
        <v>282</v>
      </c>
      <c r="H12" s="324">
        <f t="shared" si="1"/>
        <v>406.9</v>
      </c>
      <c r="I12" s="325">
        <f t="shared" si="2"/>
        <v>66</v>
      </c>
      <c r="J12" s="72"/>
      <c r="K12" s="324"/>
      <c r="L12" s="328">
        <f t="shared" si="0"/>
        <v>0</v>
      </c>
      <c r="M12" s="325">
        <f t="shared" si="3"/>
        <v>0</v>
      </c>
      <c r="N12" s="329">
        <f t="shared" si="4"/>
        <v>3</v>
      </c>
      <c r="U12" s="4"/>
      <c r="V12" s="4"/>
      <c r="W12" s="4"/>
      <c r="X12" s="4"/>
      <c r="Y12" s="4"/>
    </row>
    <row r="13" spans="1:25" s="2" customFormat="1" ht="15.75" customHeight="1">
      <c r="A13" s="70" t="s">
        <v>302</v>
      </c>
      <c r="B13" s="72">
        <v>348.73</v>
      </c>
      <c r="C13" s="323">
        <f t="shared" ref="C13:C21" si="5">B$4-D13</f>
        <v>347.4</v>
      </c>
      <c r="D13" s="324">
        <v>341.5</v>
      </c>
      <c r="E13" s="325">
        <f>IF(ISERR(Prog_ISO),"-",(Prog_ISO))</f>
        <v>38.199999999999989</v>
      </c>
      <c r="F13" s="72">
        <v>348.7</v>
      </c>
      <c r="G13" s="324">
        <v>348</v>
      </c>
      <c r="H13" s="324">
        <f t="shared" si="1"/>
        <v>340.9</v>
      </c>
      <c r="I13" s="325">
        <f t="shared" si="2"/>
        <v>36.800000000000011</v>
      </c>
      <c r="J13" s="72"/>
      <c r="K13" s="324"/>
      <c r="L13" s="328">
        <f t="shared" si="0"/>
        <v>0</v>
      </c>
      <c r="M13" s="325">
        <f t="shared" si="3"/>
        <v>0</v>
      </c>
      <c r="N13" s="329">
        <f t="shared" si="4"/>
        <v>-0.60000000000002274</v>
      </c>
      <c r="U13" s="4"/>
      <c r="V13" s="4"/>
      <c r="W13" s="4"/>
      <c r="X13" s="4"/>
      <c r="Y13" s="4"/>
    </row>
    <row r="14" spans="1:25" s="5" customFormat="1" ht="15.75" customHeight="1">
      <c r="A14" s="70" t="s">
        <v>256</v>
      </c>
      <c r="B14" s="72">
        <v>387.82</v>
      </c>
      <c r="C14" s="323">
        <f t="shared" si="5"/>
        <v>385.59999999999997</v>
      </c>
      <c r="D14" s="324">
        <v>303.3</v>
      </c>
      <c r="E14" s="325">
        <f>IF(ISERR(Prog_ISO),"-",(Prog_ISO))</f>
        <v>24.300000000000011</v>
      </c>
      <c r="F14" s="72">
        <v>387.1</v>
      </c>
      <c r="G14" s="324">
        <v>384.8</v>
      </c>
      <c r="H14" s="324">
        <f t="shared" si="1"/>
        <v>304.09999999999997</v>
      </c>
      <c r="I14" s="325">
        <f t="shared" si="2"/>
        <v>24.399999999999977</v>
      </c>
      <c r="J14" s="72"/>
      <c r="K14" s="324"/>
      <c r="L14" s="328">
        <f t="shared" si="0"/>
        <v>0</v>
      </c>
      <c r="M14" s="325">
        <f t="shared" si="3"/>
        <v>0</v>
      </c>
      <c r="N14" s="329">
        <f t="shared" si="4"/>
        <v>0.79999999999995453</v>
      </c>
      <c r="U14" s="18"/>
      <c r="V14" s="18"/>
      <c r="W14" s="18"/>
      <c r="X14" s="18"/>
      <c r="Y14" s="18"/>
    </row>
    <row r="15" spans="1:25" s="5" customFormat="1" ht="15.75" customHeight="1">
      <c r="A15" s="70" t="s">
        <v>253</v>
      </c>
      <c r="B15" s="72">
        <v>414.08</v>
      </c>
      <c r="C15" s="323">
        <f t="shared" si="5"/>
        <v>409.9</v>
      </c>
      <c r="D15" s="324">
        <v>279</v>
      </c>
      <c r="E15" s="325">
        <f>IF(ISERR(Prog_ISO),"-",(Prog_ISO))</f>
        <v>18.399999999999977</v>
      </c>
      <c r="F15" s="72">
        <v>413.7</v>
      </c>
      <c r="G15" s="324">
        <v>409.2</v>
      </c>
      <c r="H15" s="324">
        <f t="shared" si="1"/>
        <v>279.7</v>
      </c>
      <c r="I15" s="325">
        <f t="shared" si="2"/>
        <v>19.699999999999989</v>
      </c>
      <c r="J15" s="72"/>
      <c r="K15" s="324"/>
      <c r="L15" s="328">
        <f t="shared" si="0"/>
        <v>0</v>
      </c>
      <c r="M15" s="325">
        <f t="shared" si="3"/>
        <v>0</v>
      </c>
      <c r="N15" s="329">
        <f t="shared" ref="N15:N20" si="6">H15-D15</f>
        <v>0.69999999999998863</v>
      </c>
      <c r="U15" s="18"/>
      <c r="V15" s="18"/>
      <c r="W15" s="18"/>
      <c r="X15" s="18"/>
      <c r="Y15" s="18"/>
    </row>
    <row r="16" spans="1:25" s="5" customFormat="1" ht="15.75" customHeight="1">
      <c r="A16" s="70" t="s">
        <v>278</v>
      </c>
      <c r="B16" s="72">
        <v>435.17</v>
      </c>
      <c r="C16" s="323">
        <f t="shared" si="5"/>
        <v>428.29999999999995</v>
      </c>
      <c r="D16" s="324">
        <v>260.60000000000002</v>
      </c>
      <c r="E16" s="325">
        <f>IF(ISERR(Prog_ISO),"-",(Prog_ISO))</f>
        <v>27.300000000000011</v>
      </c>
      <c r="F16" s="72">
        <v>436</v>
      </c>
      <c r="G16" s="324">
        <v>428.9</v>
      </c>
      <c r="H16" s="324">
        <f t="shared" si="1"/>
        <v>260</v>
      </c>
      <c r="I16" s="325">
        <f t="shared" si="2"/>
        <v>26.700000000000045</v>
      </c>
      <c r="J16" s="72"/>
      <c r="K16" s="324"/>
      <c r="L16" s="328">
        <f t="shared" si="0"/>
        <v>0</v>
      </c>
      <c r="M16" s="325">
        <f t="shared" si="3"/>
        <v>0</v>
      </c>
      <c r="N16" s="329">
        <f t="shared" si="6"/>
        <v>-0.60000000000002274</v>
      </c>
      <c r="U16" s="18"/>
      <c r="V16" s="18"/>
      <c r="W16" s="18"/>
      <c r="X16" s="18"/>
      <c r="Y16" s="18"/>
    </row>
    <row r="17" spans="1:25" s="5" customFormat="1" ht="15.75" customHeight="1">
      <c r="A17" s="70" t="s">
        <v>279</v>
      </c>
      <c r="B17" s="72">
        <v>467.93</v>
      </c>
      <c r="C17" s="323">
        <f t="shared" si="5"/>
        <v>455.59999999999997</v>
      </c>
      <c r="D17" s="324">
        <v>233.3</v>
      </c>
      <c r="E17" s="325">
        <f>IF(ISERR(Prog_ISO),"-",(Prog_ISO))</f>
        <v>48.300000000000011</v>
      </c>
      <c r="F17" s="72">
        <v>468.2</v>
      </c>
      <c r="G17" s="324">
        <v>455.6</v>
      </c>
      <c r="H17" s="324">
        <f t="shared" si="1"/>
        <v>233.29999999999995</v>
      </c>
      <c r="I17" s="325">
        <f>IF(AND(H20=0,H17&lt;&gt;0),"-",H17-H20)</f>
        <v>107.60000000000002</v>
      </c>
      <c r="J17" s="72"/>
      <c r="K17" s="324"/>
      <c r="L17" s="328">
        <f t="shared" si="0"/>
        <v>0</v>
      </c>
      <c r="M17" s="325">
        <f>IF(AND(L20=0,L17&lt;&gt;0),"-",L17-L20)</f>
        <v>0</v>
      </c>
      <c r="N17" s="329">
        <f t="shared" si="6"/>
        <v>0</v>
      </c>
      <c r="U17" s="18"/>
      <c r="V17" s="18"/>
      <c r="W17" s="18"/>
      <c r="X17" s="18"/>
      <c r="Y17" s="18"/>
    </row>
    <row r="18" spans="1:25" s="5" customFormat="1" ht="15.75" customHeight="1">
      <c r="A18" s="70" t="s">
        <v>280</v>
      </c>
      <c r="B18" s="72">
        <v>534.71</v>
      </c>
      <c r="C18" s="323">
        <f t="shared" si="5"/>
        <v>503.9</v>
      </c>
      <c r="D18" s="324">
        <v>185</v>
      </c>
      <c r="E18" s="325">
        <f>IF(ISERR(Prog_ISO),"-",(Prog_ISO))</f>
        <v>19.800000000000011</v>
      </c>
      <c r="F18" s="72">
        <v>535.5</v>
      </c>
      <c r="G18" s="324">
        <v>503.9</v>
      </c>
      <c r="H18" s="324">
        <f t="shared" ref="H18:H19" si="7">B$4-G18</f>
        <v>185</v>
      </c>
      <c r="I18" s="325">
        <f t="shared" ref="I18:I19" si="8">IF(AND(H21=0,H18&lt;&gt;0),"-",H18-H21)</f>
        <v>73.700000000000045</v>
      </c>
      <c r="J18" s="72"/>
      <c r="K18" s="324"/>
      <c r="L18" s="328">
        <f t="shared" ref="L18:L19" si="9">IF(K18=0,0,$B$4-K18)</f>
        <v>0</v>
      </c>
      <c r="M18" s="325">
        <f t="shared" ref="M18:M19" si="10">IF(AND(L21=0,L18&lt;&gt;0),"-",L18-L21)</f>
        <v>0</v>
      </c>
      <c r="N18" s="329">
        <f t="shared" si="6"/>
        <v>0</v>
      </c>
      <c r="U18" s="18"/>
      <c r="V18" s="18"/>
      <c r="W18" s="18"/>
      <c r="X18" s="18"/>
      <c r="Y18" s="18"/>
    </row>
    <row r="19" spans="1:25" s="5" customFormat="1" ht="15.75" customHeight="1">
      <c r="A19" s="70" t="s">
        <v>281</v>
      </c>
      <c r="B19" s="72">
        <v>568.48</v>
      </c>
      <c r="C19" s="323">
        <f t="shared" si="5"/>
        <v>523.70000000000005</v>
      </c>
      <c r="D19" s="324">
        <v>165.2</v>
      </c>
      <c r="E19" s="325">
        <f>IF(ISERR(Prog_ISO),"-",(Prog_ISO))</f>
        <v>39.499999999999986</v>
      </c>
      <c r="F19" s="72">
        <v>568.70000000000005</v>
      </c>
      <c r="G19" s="324">
        <v>523.29999999999995</v>
      </c>
      <c r="H19" s="324">
        <f t="shared" si="7"/>
        <v>165.60000000000002</v>
      </c>
      <c r="I19" s="325">
        <f t="shared" si="8"/>
        <v>54.980000000000018</v>
      </c>
      <c r="J19" s="72"/>
      <c r="K19" s="324"/>
      <c r="L19" s="328">
        <f t="shared" si="9"/>
        <v>0</v>
      </c>
      <c r="M19" s="325">
        <f t="shared" si="10"/>
        <v>0</v>
      </c>
      <c r="N19" s="329">
        <f t="shared" si="6"/>
        <v>0.40000000000003411</v>
      </c>
      <c r="U19" s="18"/>
      <c r="V19" s="18"/>
      <c r="W19" s="18"/>
      <c r="X19" s="18"/>
      <c r="Y19" s="18"/>
    </row>
    <row r="20" spans="1:25" s="5" customFormat="1" ht="15.75" customHeight="1">
      <c r="A20" s="70" t="s">
        <v>282</v>
      </c>
      <c r="B20" s="72">
        <v>667.88</v>
      </c>
      <c r="C20" s="323">
        <f t="shared" si="5"/>
        <v>563.19999999999993</v>
      </c>
      <c r="D20" s="324">
        <v>125.7</v>
      </c>
      <c r="E20" s="325">
        <f>IF(ISERR(Prog_ISO),"-",(Prog_ISO))</f>
        <v>14.5</v>
      </c>
      <c r="F20" s="72">
        <v>670</v>
      </c>
      <c r="G20" s="324">
        <v>563.20000000000005</v>
      </c>
      <c r="H20" s="324">
        <f t="shared" ref="H20:H34" si="11">B$4-G20</f>
        <v>125.69999999999993</v>
      </c>
      <c r="I20" s="325">
        <f>IF(AND(H21=0,H20&lt;&gt;0),"-",H20-H21)</f>
        <v>14.399999999999977</v>
      </c>
      <c r="J20" s="72"/>
      <c r="K20" s="324"/>
      <c r="L20" s="328">
        <f t="shared" ref="L20:L27" si="12">IF(K20=0,0,$B$4-K20)</f>
        <v>0</v>
      </c>
      <c r="M20" s="325">
        <f>IF(AND(L21=0,L20&lt;&gt;0),"-",L20-L21)</f>
        <v>0</v>
      </c>
      <c r="N20" s="329">
        <f t="shared" si="6"/>
        <v>0</v>
      </c>
      <c r="U20" s="18"/>
      <c r="V20" s="18"/>
      <c r="W20" s="18"/>
      <c r="X20" s="18"/>
      <c r="Y20" s="18"/>
    </row>
    <row r="21" spans="1:25" s="5" customFormat="1" ht="15.75" customHeight="1">
      <c r="A21" s="70" t="s">
        <v>247</v>
      </c>
      <c r="B21" s="72">
        <v>797.06</v>
      </c>
      <c r="C21" s="323">
        <f t="shared" si="5"/>
        <v>577.69999999999993</v>
      </c>
      <c r="D21" s="324">
        <v>111.2</v>
      </c>
      <c r="E21" s="325">
        <f>IF(ISERR(Prog_ISO),"-",(Prog_ISO))</f>
        <v>3.7000000000000028</v>
      </c>
      <c r="F21" s="72">
        <v>793</v>
      </c>
      <c r="G21" s="324">
        <v>577.6</v>
      </c>
      <c r="H21" s="324">
        <f t="shared" si="11"/>
        <v>111.29999999999995</v>
      </c>
      <c r="I21" s="325">
        <f>IF(AND(H22=0,H21&lt;&gt;0),"-",H21-H22)</f>
        <v>0.67999999999994998</v>
      </c>
      <c r="J21" s="72"/>
      <c r="K21" s="324"/>
      <c r="L21" s="328">
        <f t="shared" si="12"/>
        <v>0</v>
      </c>
      <c r="M21" s="325">
        <f>IF(AND(L25=0,L21&lt;&gt;0),"-",L21-L25)</f>
        <v>0</v>
      </c>
      <c r="N21" s="329">
        <f t="shared" ref="N21:N27" si="13">H21-D21</f>
        <v>9.9999999999951683E-2</v>
      </c>
      <c r="U21" s="18"/>
      <c r="V21" s="18"/>
      <c r="W21" s="18"/>
      <c r="X21" s="18"/>
      <c r="Y21" s="18"/>
    </row>
    <row r="22" spans="1:25" s="5" customFormat="1" ht="15.75" customHeight="1">
      <c r="A22" s="70" t="s">
        <v>283</v>
      </c>
      <c r="B22" s="72">
        <v>2714.6</v>
      </c>
      <c r="C22" s="323">
        <f t="shared" ref="C22:C34" si="14">B$4-D22</f>
        <v>581.4</v>
      </c>
      <c r="D22" s="324">
        <v>107.5</v>
      </c>
      <c r="E22" s="325">
        <f>IF(ISERR(Prog_ISO),"-",(Prog_ISO))</f>
        <v>-3.6800000000000068</v>
      </c>
      <c r="F22" s="72">
        <v>2707</v>
      </c>
      <c r="G22" s="324">
        <v>578.28</v>
      </c>
      <c r="H22" s="324">
        <f t="shared" si="11"/>
        <v>110.62</v>
      </c>
      <c r="I22" s="325">
        <f>IF(AND(H23=0,H22&lt;&gt;0),"-",H22-H23)</f>
        <v>-1.67999999999995</v>
      </c>
      <c r="J22" s="72"/>
      <c r="K22" s="324"/>
      <c r="L22" s="328">
        <f t="shared" si="12"/>
        <v>0</v>
      </c>
      <c r="M22" s="325">
        <f>IF(AND(L26=0,L22&lt;&gt;0),"-",L22-L26)</f>
        <v>0</v>
      </c>
      <c r="N22" s="329">
        <f t="shared" si="13"/>
        <v>3.1200000000000045</v>
      </c>
      <c r="U22" s="18"/>
      <c r="V22" s="18"/>
      <c r="W22" s="18"/>
      <c r="X22" s="18"/>
      <c r="Y22" s="18"/>
    </row>
    <row r="23" spans="1:25" s="5" customFormat="1" ht="15.75" customHeight="1">
      <c r="A23" s="70" t="s">
        <v>257</v>
      </c>
      <c r="B23" s="72">
        <v>1012</v>
      </c>
      <c r="C23" s="323">
        <f t="shared" si="14"/>
        <v>577.72</v>
      </c>
      <c r="D23" s="324">
        <v>111.18</v>
      </c>
      <c r="E23" s="325">
        <f>IF(ISERR(Prog_ISO),"-",(Prog_ISO))</f>
        <v>4.1800000000000068</v>
      </c>
      <c r="F23" s="72">
        <v>1007</v>
      </c>
      <c r="G23" s="324">
        <v>576.6</v>
      </c>
      <c r="H23" s="324">
        <f t="shared" si="11"/>
        <v>112.29999999999995</v>
      </c>
      <c r="I23" s="325">
        <f t="shared" ref="I23:I34" si="15">IF(AND(H24=0,H23&lt;&gt;0),"-",H23-H24)</f>
        <v>2.7999999999999545</v>
      </c>
      <c r="J23" s="72"/>
      <c r="K23" s="324"/>
      <c r="L23" s="328">
        <f t="shared" si="12"/>
        <v>0</v>
      </c>
      <c r="M23" s="325">
        <f>IF(AND(L26=0,L23&lt;&gt;0),"-",L23-L26)</f>
        <v>0</v>
      </c>
      <c r="N23" s="329">
        <f t="shared" si="13"/>
        <v>1.1199999999999477</v>
      </c>
      <c r="U23" s="18"/>
      <c r="V23" s="18"/>
      <c r="W23" s="18"/>
      <c r="X23" s="18"/>
      <c r="Y23" s="18"/>
    </row>
    <row r="24" spans="1:25" s="5" customFormat="1" ht="15.75" customHeight="1">
      <c r="A24" s="70" t="s">
        <v>284</v>
      </c>
      <c r="B24" s="72">
        <v>2673.54</v>
      </c>
      <c r="C24" s="323">
        <f t="shared" si="14"/>
        <v>581.9</v>
      </c>
      <c r="D24" s="324">
        <v>107</v>
      </c>
      <c r="E24" s="325">
        <f>IF(ISERR(Prog_ISO),"-",(Prog_ISO))</f>
        <v>-4.4699999999999989</v>
      </c>
      <c r="F24" s="72">
        <v>2273</v>
      </c>
      <c r="G24" s="324">
        <v>579.4</v>
      </c>
      <c r="H24" s="324">
        <f t="shared" si="11"/>
        <v>109.5</v>
      </c>
      <c r="I24" s="325">
        <f t="shared" si="15"/>
        <v>-2.1999999999999318</v>
      </c>
      <c r="J24" s="72"/>
      <c r="K24" s="324"/>
      <c r="L24" s="328">
        <f t="shared" si="12"/>
        <v>0</v>
      </c>
      <c r="M24" s="325">
        <f>IF(AND(L27=0,L24&lt;&gt;0),"-",L24-L27)</f>
        <v>0</v>
      </c>
      <c r="N24" s="329">
        <f t="shared" si="13"/>
        <v>2.5</v>
      </c>
      <c r="U24" s="18"/>
      <c r="V24" s="18"/>
      <c r="W24" s="18"/>
      <c r="X24" s="18"/>
      <c r="Y24" s="18"/>
    </row>
    <row r="25" spans="1:25" s="5" customFormat="1" ht="15.75" customHeight="1">
      <c r="A25" s="70" t="s">
        <v>260</v>
      </c>
      <c r="B25" s="72">
        <v>893.5</v>
      </c>
      <c r="C25" s="323">
        <f t="shared" si="14"/>
        <v>577.42999999999995</v>
      </c>
      <c r="D25" s="324">
        <v>111.47</v>
      </c>
      <c r="E25" s="325">
        <f>IF(ISERR(Prog_ISO),"-",(Prog_ISO))</f>
        <v>5.4699999999999989</v>
      </c>
      <c r="F25" s="72">
        <v>890</v>
      </c>
      <c r="G25" s="324">
        <v>577.20000000000005</v>
      </c>
      <c r="H25" s="324">
        <f t="shared" si="11"/>
        <v>111.69999999999993</v>
      </c>
      <c r="I25" s="325">
        <f t="shared" si="15"/>
        <v>3.6999999999999318</v>
      </c>
      <c r="J25" s="72"/>
      <c r="K25" s="324"/>
      <c r="L25" s="328">
        <f t="shared" si="12"/>
        <v>0</v>
      </c>
      <c r="M25" s="325">
        <f t="shared" ref="M25:M33" si="16">IF(AND(L26=0,L25&lt;&gt;0),"-",L25-L26)</f>
        <v>0</v>
      </c>
      <c r="N25" s="329">
        <f t="shared" si="13"/>
        <v>0.22999999999993292</v>
      </c>
      <c r="U25" s="18"/>
      <c r="V25" s="18"/>
      <c r="W25" s="18"/>
      <c r="X25" s="18"/>
      <c r="Y25" s="18"/>
    </row>
    <row r="26" spans="1:25">
      <c r="A26" s="70" t="s">
        <v>285</v>
      </c>
      <c r="B26" s="72">
        <v>2599.5700000000002</v>
      </c>
      <c r="C26" s="323">
        <f t="shared" si="14"/>
        <v>582.9</v>
      </c>
      <c r="D26" s="324">
        <v>106</v>
      </c>
      <c r="E26" s="325">
        <f>IF(ISERR(Prog_ISO),"-",(Prog_ISO))</f>
        <v>-5.6099999999999994</v>
      </c>
      <c r="F26" s="72">
        <v>2550</v>
      </c>
      <c r="G26" s="324">
        <v>580.9</v>
      </c>
      <c r="H26" s="324">
        <f t="shared" si="11"/>
        <v>108</v>
      </c>
      <c r="I26" s="325">
        <f t="shared" si="15"/>
        <v>-580.9</v>
      </c>
      <c r="J26" s="72"/>
      <c r="K26" s="324"/>
      <c r="L26" s="328">
        <f t="shared" si="12"/>
        <v>0</v>
      </c>
      <c r="M26" s="325">
        <f t="shared" si="16"/>
        <v>0</v>
      </c>
      <c r="N26" s="329">
        <f t="shared" si="13"/>
        <v>2</v>
      </c>
    </row>
    <row r="27" spans="1:25" s="2" customFormat="1" ht="15.75" customHeight="1">
      <c r="A27" s="70" t="s">
        <v>261</v>
      </c>
      <c r="B27" s="72">
        <v>827.06</v>
      </c>
      <c r="C27" s="323">
        <f t="shared" si="14"/>
        <v>577.29</v>
      </c>
      <c r="D27" s="324">
        <v>111.61</v>
      </c>
      <c r="E27" s="325">
        <f>IF(ISERR(Prog_ISO),"-",(Prog_ISO))</f>
        <v>5.5999999999999943</v>
      </c>
      <c r="F27" s="72">
        <v>825</v>
      </c>
      <c r="G27" s="324"/>
      <c r="H27" s="324">
        <f t="shared" si="11"/>
        <v>688.9</v>
      </c>
      <c r="I27" s="325">
        <f t="shared" si="15"/>
        <v>0</v>
      </c>
      <c r="J27" s="72"/>
      <c r="K27" s="324"/>
      <c r="L27" s="328">
        <f t="shared" si="12"/>
        <v>0</v>
      </c>
      <c r="M27" s="325">
        <f t="shared" si="16"/>
        <v>0</v>
      </c>
      <c r="N27" s="329">
        <f t="shared" si="13"/>
        <v>577.29</v>
      </c>
      <c r="U27" s="4"/>
      <c r="V27" s="4"/>
      <c r="W27" s="4"/>
      <c r="X27" s="4"/>
      <c r="Y27" s="4"/>
    </row>
    <row r="28" spans="1:25" s="2" customFormat="1" ht="15.75" customHeight="1">
      <c r="A28" s="70" t="s">
        <v>286</v>
      </c>
      <c r="B28" s="72">
        <v>2610</v>
      </c>
      <c r="C28" s="323">
        <f t="shared" si="14"/>
        <v>582.89</v>
      </c>
      <c r="D28" s="324">
        <v>106.01</v>
      </c>
      <c r="E28" s="325">
        <f>IF(ISERR(Prog_ISO),"-",(Prog_ISO))</f>
        <v>-5.1799999999999926</v>
      </c>
      <c r="F28" s="72"/>
      <c r="G28" s="324"/>
      <c r="H28" s="324">
        <f t="shared" si="11"/>
        <v>688.9</v>
      </c>
      <c r="I28" s="325">
        <f t="shared" si="15"/>
        <v>0</v>
      </c>
      <c r="J28" s="72"/>
      <c r="K28" s="324"/>
      <c r="L28" s="328">
        <f t="shared" ref="L28:L33" si="17">IF(K28=0,0,$B$4-K28)</f>
        <v>0</v>
      </c>
      <c r="M28" s="325">
        <f t="shared" si="16"/>
        <v>0</v>
      </c>
      <c r="N28" s="329">
        <f t="shared" ref="N28:N33" si="18">H28-D28</f>
        <v>582.89</v>
      </c>
      <c r="U28" s="4"/>
      <c r="V28" s="4"/>
      <c r="W28" s="4"/>
      <c r="X28" s="4"/>
      <c r="Y28" s="4"/>
    </row>
    <row r="29" spans="1:25" s="2" customFormat="1" ht="15.75" customHeight="1">
      <c r="A29" s="70" t="s">
        <v>262</v>
      </c>
      <c r="B29" s="72">
        <v>984.56</v>
      </c>
      <c r="C29" s="323">
        <f t="shared" si="14"/>
        <v>577.71</v>
      </c>
      <c r="D29" s="324">
        <v>111.19</v>
      </c>
      <c r="E29" s="325">
        <f>IF(ISERR(Prog_ISO),"-",(Prog_ISO))</f>
        <v>3.1899999999999977</v>
      </c>
      <c r="F29" s="72"/>
      <c r="G29" s="324"/>
      <c r="H29" s="324">
        <f t="shared" si="11"/>
        <v>688.9</v>
      </c>
      <c r="I29" s="325">
        <f t="shared" si="15"/>
        <v>0</v>
      </c>
      <c r="J29" s="72"/>
      <c r="K29" s="324"/>
      <c r="L29" s="328">
        <f t="shared" si="17"/>
        <v>0</v>
      </c>
      <c r="M29" s="325">
        <f t="shared" si="16"/>
        <v>0</v>
      </c>
      <c r="N29" s="329">
        <f t="shared" si="18"/>
        <v>577.71</v>
      </c>
      <c r="U29" s="4"/>
      <c r="V29" s="4"/>
      <c r="W29" s="4"/>
      <c r="X29" s="4"/>
      <c r="Y29" s="4"/>
    </row>
    <row r="30" spans="1:25" s="2" customFormat="1" ht="15.75" customHeight="1">
      <c r="A30" s="70" t="s">
        <v>287</v>
      </c>
      <c r="B30" s="72">
        <v>2700</v>
      </c>
      <c r="C30" s="323">
        <f t="shared" si="14"/>
        <v>580.9</v>
      </c>
      <c r="D30" s="324">
        <v>108</v>
      </c>
      <c r="E30" s="325" t="str">
        <f>IF(ISERR(Prog_ISO),"-",(Prog_ISO))</f>
        <v>-</v>
      </c>
      <c r="F30" s="72"/>
      <c r="G30" s="324"/>
      <c r="H30" s="324">
        <f t="shared" si="11"/>
        <v>688.9</v>
      </c>
      <c r="I30" s="325">
        <f t="shared" si="15"/>
        <v>0</v>
      </c>
      <c r="J30" s="72"/>
      <c r="K30" s="324"/>
      <c r="L30" s="328">
        <f t="shared" si="17"/>
        <v>0</v>
      </c>
      <c r="M30" s="325">
        <f t="shared" si="16"/>
        <v>0</v>
      </c>
      <c r="N30" s="329">
        <f t="shared" si="18"/>
        <v>580.9</v>
      </c>
      <c r="U30" s="4"/>
      <c r="V30" s="4"/>
      <c r="W30" s="4"/>
      <c r="X30" s="4"/>
      <c r="Y30" s="4"/>
    </row>
    <row r="31" spans="1:25" s="2" customFormat="1" ht="15.75" customHeight="1">
      <c r="A31" s="70"/>
      <c r="B31" s="72"/>
      <c r="C31" s="323">
        <f t="shared" si="14"/>
        <v>688.9</v>
      </c>
      <c r="D31" s="324"/>
      <c r="E31" s="325">
        <f>IF(ISERR(Prog_ISO),"-",(Prog_ISO))</f>
        <v>0</v>
      </c>
      <c r="F31" s="72"/>
      <c r="G31" s="324"/>
      <c r="H31" s="324">
        <f t="shared" si="11"/>
        <v>688.9</v>
      </c>
      <c r="I31" s="325">
        <f t="shared" si="15"/>
        <v>0</v>
      </c>
      <c r="J31" s="72"/>
      <c r="K31" s="324"/>
      <c r="L31" s="328">
        <f t="shared" si="17"/>
        <v>0</v>
      </c>
      <c r="M31" s="325">
        <f t="shared" si="16"/>
        <v>0</v>
      </c>
      <c r="N31" s="329">
        <f t="shared" si="18"/>
        <v>688.9</v>
      </c>
      <c r="U31" s="4"/>
      <c r="V31" s="4"/>
      <c r="W31" s="4"/>
      <c r="X31" s="4"/>
      <c r="Y31" s="4"/>
    </row>
    <row r="32" spans="1:25" s="2" customFormat="1" ht="15.75" customHeight="1">
      <c r="A32" s="70"/>
      <c r="B32" s="72"/>
      <c r="C32" s="323">
        <f t="shared" si="14"/>
        <v>688.9</v>
      </c>
      <c r="D32" s="324"/>
      <c r="E32" s="325">
        <f>IF(ISERR(Prog_ISO),"-",(Prog_ISO))</f>
        <v>0</v>
      </c>
      <c r="F32" s="72"/>
      <c r="G32" s="324"/>
      <c r="H32" s="324">
        <f t="shared" si="11"/>
        <v>688.9</v>
      </c>
      <c r="I32" s="325">
        <f t="shared" si="15"/>
        <v>0</v>
      </c>
      <c r="J32" s="72"/>
      <c r="K32" s="324"/>
      <c r="L32" s="328">
        <f t="shared" si="17"/>
        <v>0</v>
      </c>
      <c r="M32" s="325">
        <f t="shared" si="16"/>
        <v>0</v>
      </c>
      <c r="N32" s="329">
        <f t="shared" si="18"/>
        <v>688.9</v>
      </c>
      <c r="U32" s="4"/>
      <c r="V32" s="4"/>
      <c r="W32" s="4"/>
      <c r="X32" s="4"/>
      <c r="Y32" s="4"/>
    </row>
    <row r="33" spans="1:25" s="2" customFormat="1" ht="15.75" customHeight="1">
      <c r="A33" s="70"/>
      <c r="B33" s="72"/>
      <c r="C33" s="323">
        <f t="shared" si="14"/>
        <v>688.9</v>
      </c>
      <c r="D33" s="324"/>
      <c r="E33" s="325">
        <f>IF(ISERR(Prog_ISO),"-",(Prog_ISO))</f>
        <v>0</v>
      </c>
      <c r="F33" s="72"/>
      <c r="G33" s="324"/>
      <c r="H33" s="324">
        <f t="shared" si="11"/>
        <v>688.9</v>
      </c>
      <c r="I33" s="325">
        <f t="shared" si="15"/>
        <v>0</v>
      </c>
      <c r="J33" s="72"/>
      <c r="K33" s="324"/>
      <c r="L33" s="328">
        <f t="shared" si="17"/>
        <v>0</v>
      </c>
      <c r="M33" s="325">
        <f t="shared" si="16"/>
        <v>0</v>
      </c>
      <c r="N33" s="329">
        <f t="shared" si="18"/>
        <v>688.9</v>
      </c>
      <c r="U33" s="4"/>
      <c r="V33" s="4"/>
      <c r="W33" s="4"/>
      <c r="X33" s="4"/>
      <c r="Y33" s="4"/>
    </row>
    <row r="34" spans="1:25" s="2" customFormat="1" ht="15.75" customHeight="1">
      <c r="B34" s="72"/>
      <c r="C34" s="323">
        <f t="shared" si="14"/>
        <v>688.9</v>
      </c>
      <c r="D34" s="324"/>
      <c r="E34" s="325">
        <f>IF(ISERR(Prog_ISO),"-",(Prog_ISO))</f>
        <v>0</v>
      </c>
      <c r="F34" s="72"/>
      <c r="G34" s="324"/>
      <c r="H34" s="324">
        <f t="shared" si="11"/>
        <v>688.9</v>
      </c>
      <c r="I34" s="325" t="str">
        <f t="shared" si="15"/>
        <v>-</v>
      </c>
      <c r="J34" s="72"/>
      <c r="K34" s="324"/>
      <c r="L34" s="328">
        <f t="shared" ref="L34" si="19">IF(K34=0,0,$B$4-K34)</f>
        <v>0</v>
      </c>
      <c r="M34" s="325" t="e">
        <f>IF(AND(#REF!=0,L34&lt;&gt;0),"-",L34-#REF!)</f>
        <v>#REF!</v>
      </c>
      <c r="N34" s="329">
        <f t="shared" ref="N34" si="20">H34-D34</f>
        <v>688.9</v>
      </c>
      <c r="U34" s="4"/>
      <c r="V34" s="4"/>
      <c r="W34" s="4"/>
      <c r="X34" s="4"/>
      <c r="Y34" s="4"/>
    </row>
    <row r="35" spans="1:25" s="2" customFormat="1" ht="15.75" customHeight="1">
      <c r="A35" s="70"/>
      <c r="B35" s="72"/>
      <c r="C35" s="139"/>
      <c r="D35" s="71"/>
      <c r="E35" s="141"/>
      <c r="F35" s="73"/>
      <c r="G35" s="71"/>
      <c r="H35" s="71"/>
      <c r="I35" s="140"/>
      <c r="J35" s="74"/>
      <c r="K35" s="71"/>
      <c r="L35" s="71"/>
      <c r="M35" s="140"/>
      <c r="N35" s="128"/>
      <c r="U35" s="4"/>
      <c r="V35" s="4"/>
      <c r="W35" s="4"/>
      <c r="X35" s="4"/>
      <c r="Y35" s="4"/>
    </row>
    <row r="36" spans="1:25" s="2" customFormat="1" ht="15.75" customHeight="1">
      <c r="A36" s="70"/>
      <c r="B36" s="72"/>
      <c r="C36" s="139"/>
      <c r="D36" s="71"/>
      <c r="E36" s="141"/>
      <c r="F36" s="73"/>
      <c r="G36" s="71"/>
      <c r="H36" s="71"/>
      <c r="I36" s="140"/>
      <c r="J36" s="73"/>
      <c r="K36" s="71"/>
      <c r="L36" s="71"/>
      <c r="M36" s="140"/>
      <c r="N36" s="128"/>
      <c r="U36" s="4"/>
      <c r="V36" s="4"/>
      <c r="W36" s="4"/>
      <c r="X36" s="4"/>
      <c r="Y36" s="4"/>
    </row>
    <row r="37" spans="1:25" s="2" customFormat="1" ht="15.75" customHeight="1">
      <c r="A37" s="70"/>
      <c r="B37" s="72"/>
      <c r="C37" s="71"/>
      <c r="D37" s="71"/>
      <c r="E37" s="142"/>
      <c r="F37" s="73"/>
      <c r="G37" s="71"/>
      <c r="H37" s="71"/>
      <c r="I37" s="140"/>
      <c r="J37" s="73"/>
      <c r="K37" s="71"/>
      <c r="L37" s="71"/>
      <c r="M37" s="140"/>
      <c r="N37" s="128"/>
      <c r="U37" s="4"/>
      <c r="V37" s="4"/>
      <c r="W37" s="4"/>
      <c r="X37" s="4"/>
      <c r="Y37" s="4"/>
    </row>
    <row r="38" spans="1:25" s="2" customFormat="1" ht="15.75" customHeight="1">
      <c r="A38" s="367" t="s">
        <v>17</v>
      </c>
      <c r="B38" s="367"/>
      <c r="C38" s="367"/>
      <c r="D38" s="367"/>
      <c r="E38" s="367"/>
      <c r="F38" s="367"/>
      <c r="G38" s="367"/>
      <c r="H38" s="367"/>
      <c r="I38" s="367"/>
      <c r="J38" s="367"/>
      <c r="K38" s="367"/>
      <c r="L38" s="367"/>
      <c r="M38" s="367"/>
      <c r="N38" s="367"/>
      <c r="U38" s="4"/>
      <c r="V38" s="4"/>
      <c r="W38" s="4"/>
      <c r="X38" s="4"/>
      <c r="Y38" s="4"/>
    </row>
    <row r="39" spans="1:25" s="2" customFormat="1" ht="15.75" customHeight="1">
      <c r="A39" s="39"/>
      <c r="U39" s="4"/>
      <c r="V39" s="4"/>
      <c r="W39" s="4"/>
      <c r="X39" s="4"/>
      <c r="Y39" s="4"/>
    </row>
    <row r="40" spans="1:25" s="2" customFormat="1" ht="19.5" customHeight="1">
      <c r="A40" s="39"/>
      <c r="U40" s="4"/>
      <c r="V40" s="4"/>
      <c r="W40" s="4"/>
      <c r="X40" s="4"/>
      <c r="Y40" s="4"/>
    </row>
    <row r="41" spans="1:25" s="2" customFormat="1" ht="15.75" customHeight="1">
      <c r="A41" s="39"/>
      <c r="U41" s="4"/>
      <c r="V41" s="4"/>
      <c r="W41" s="4"/>
      <c r="X41" s="4"/>
      <c r="Y41" s="4"/>
    </row>
    <row r="42" spans="1:25" s="2" customFormat="1" ht="15.75" customHeight="1">
      <c r="A42" s="39"/>
      <c r="U42" s="4"/>
      <c r="V42" s="4"/>
      <c r="W42" s="4"/>
      <c r="X42" s="4"/>
      <c r="Y42" s="4"/>
    </row>
    <row r="43" spans="1:25" s="2" customFormat="1" ht="15.75" customHeight="1">
      <c r="A43" s="39"/>
      <c r="U43" s="4"/>
      <c r="V43" s="4"/>
      <c r="W43" s="4"/>
      <c r="X43" s="4"/>
      <c r="Y43" s="4"/>
    </row>
    <row r="44" spans="1:25" s="2" customFormat="1" ht="15.75" customHeight="1">
      <c r="A44" s="39"/>
      <c r="U44" s="4"/>
      <c r="V44" s="4"/>
      <c r="W44" s="4"/>
      <c r="X44" s="4"/>
      <c r="Y44" s="4"/>
    </row>
    <row r="45" spans="1:25" s="2" customFormat="1" ht="15.75" customHeight="1">
      <c r="A45" s="39"/>
      <c r="U45" s="4"/>
      <c r="V45" s="4"/>
      <c r="W45" s="4"/>
      <c r="X45" s="4"/>
      <c r="Y45" s="4"/>
    </row>
    <row r="46" spans="1:25" s="2" customFormat="1" ht="15.75" customHeight="1">
      <c r="A46" s="39"/>
      <c r="U46" s="4"/>
      <c r="V46" s="4"/>
      <c r="W46" s="4"/>
      <c r="X46" s="4"/>
      <c r="Y46" s="4"/>
    </row>
    <row r="47" spans="1:25" s="2" customFormat="1" ht="15.75" customHeight="1">
      <c r="A47" s="39"/>
      <c r="U47" s="4"/>
      <c r="V47" s="4"/>
      <c r="W47" s="4"/>
      <c r="X47" s="4"/>
      <c r="Y47" s="4"/>
    </row>
    <row r="48" spans="1:25" s="2" customFormat="1" ht="15.75" customHeight="1">
      <c r="A48" s="39"/>
      <c r="U48" s="4"/>
      <c r="V48" s="4"/>
      <c r="W48" s="4"/>
      <c r="X48" s="4"/>
      <c r="Y48" s="4"/>
    </row>
    <row r="49" spans="1:25" s="2" customFormat="1" ht="15.75" customHeight="1">
      <c r="A49" s="39"/>
      <c r="U49" s="4"/>
      <c r="V49" s="4"/>
      <c r="W49" s="4"/>
      <c r="X49" s="4"/>
      <c r="Y49" s="4"/>
    </row>
    <row r="50" spans="1:25" s="2" customFormat="1" ht="15.75" customHeight="1">
      <c r="A50" s="39"/>
      <c r="U50" s="4"/>
      <c r="V50" s="4"/>
      <c r="W50" s="4"/>
      <c r="X50" s="4"/>
      <c r="Y50" s="4"/>
    </row>
    <row r="51" spans="1:25" s="2" customFormat="1" ht="15.75" customHeight="1">
      <c r="A51" s="39"/>
      <c r="U51" s="4"/>
      <c r="V51" s="4"/>
      <c r="W51" s="4"/>
      <c r="X51" s="4"/>
      <c r="Y51" s="4"/>
    </row>
    <row r="52" spans="1:25" s="2" customFormat="1" ht="15.75" customHeight="1">
      <c r="A52" s="39"/>
      <c r="U52" s="4"/>
      <c r="V52" s="4"/>
      <c r="W52" s="4"/>
      <c r="X52" s="4"/>
      <c r="Y52" s="4"/>
    </row>
    <row r="53" spans="1:25" s="2" customFormat="1" ht="15.75" customHeight="1">
      <c r="A53" s="39"/>
      <c r="U53" s="4"/>
      <c r="V53" s="4"/>
      <c r="W53" s="4"/>
      <c r="X53" s="4"/>
      <c r="Y53" s="4"/>
    </row>
    <row r="54" spans="1:25" s="2" customFormat="1" ht="15.75" customHeight="1">
      <c r="A54" s="39"/>
      <c r="U54" s="4"/>
      <c r="V54" s="4"/>
      <c r="W54" s="4"/>
      <c r="X54" s="4"/>
      <c r="Y54" s="4"/>
    </row>
    <row r="55" spans="1:25" s="2" customFormat="1" ht="15.75" customHeight="1">
      <c r="A55" s="39"/>
      <c r="U55" s="4"/>
      <c r="V55" s="4"/>
      <c r="W55" s="4"/>
      <c r="X55" s="4"/>
      <c r="Y55" s="4"/>
    </row>
    <row r="56" spans="1:25" s="2" customFormat="1" ht="15.75" customHeight="1">
      <c r="A56" s="39"/>
      <c r="U56" s="4"/>
      <c r="V56" s="4"/>
      <c r="W56" s="4"/>
      <c r="X56" s="4"/>
      <c r="Y56" s="4"/>
    </row>
    <row r="57" spans="1:25" s="2" customFormat="1" ht="15.75" customHeight="1">
      <c r="A57" s="39"/>
      <c r="U57" s="4"/>
      <c r="V57" s="4"/>
      <c r="W57" s="4"/>
      <c r="X57" s="4"/>
      <c r="Y57" s="4"/>
    </row>
    <row r="58" spans="1:25" s="2" customFormat="1" ht="15.75" customHeight="1">
      <c r="A58" s="39"/>
      <c r="U58" s="4"/>
      <c r="V58" s="4"/>
      <c r="W58" s="4"/>
      <c r="X58" s="4"/>
      <c r="Y58" s="4"/>
    </row>
    <row r="59" spans="1:25" s="2" customFormat="1" ht="15.75" customHeight="1">
      <c r="A59" s="39"/>
      <c r="U59" s="4"/>
      <c r="V59" s="4"/>
      <c r="W59" s="4"/>
      <c r="X59" s="4"/>
      <c r="Y59" s="4"/>
    </row>
    <row r="60" spans="1:25" s="2" customFormat="1" ht="15.75" customHeight="1">
      <c r="A60" s="39"/>
      <c r="U60" s="4"/>
      <c r="V60" s="4"/>
      <c r="W60" s="4"/>
      <c r="X60" s="4"/>
      <c r="Y60" s="4"/>
    </row>
    <row r="61" spans="1:25" s="2" customFormat="1" ht="15.75" customHeight="1">
      <c r="A61" s="39"/>
      <c r="U61" s="4"/>
      <c r="V61" s="4"/>
      <c r="W61" s="4"/>
      <c r="X61" s="4"/>
      <c r="Y61" s="4"/>
    </row>
    <row r="62" spans="1:25" s="2" customFormat="1" ht="15.75" customHeight="1">
      <c r="A62" s="39"/>
      <c r="U62" s="4"/>
      <c r="V62" s="4"/>
      <c r="W62" s="4"/>
      <c r="X62" s="4"/>
      <c r="Y62" s="4"/>
    </row>
    <row r="63" spans="1:25" s="2" customFormat="1" ht="15.75" customHeight="1">
      <c r="A63" s="39"/>
      <c r="U63" s="4"/>
      <c r="V63" s="4"/>
      <c r="W63" s="4"/>
      <c r="X63" s="4"/>
      <c r="Y63" s="4"/>
    </row>
    <row r="64" spans="1:25" s="2" customFormat="1" ht="15.75" customHeight="1">
      <c r="A64" s="39"/>
      <c r="U64" s="4"/>
      <c r="V64" s="4"/>
      <c r="W64" s="4"/>
      <c r="X64" s="4"/>
      <c r="Y64" s="4"/>
    </row>
    <row r="65" spans="1:25" s="2" customFormat="1" ht="15.75" customHeight="1">
      <c r="A65" s="39"/>
      <c r="U65" s="4"/>
      <c r="V65" s="4"/>
      <c r="W65" s="4"/>
      <c r="X65" s="4"/>
      <c r="Y65" s="4"/>
    </row>
    <row r="66" spans="1:25" s="2" customFormat="1" ht="15.75" customHeight="1">
      <c r="A66" s="39"/>
      <c r="U66" s="4"/>
      <c r="V66" s="4"/>
      <c r="W66" s="4"/>
      <c r="X66" s="4"/>
      <c r="Y66" s="4"/>
    </row>
    <row r="67" spans="1:25" s="2" customFormat="1" ht="15.75" customHeight="1">
      <c r="A67" s="39"/>
      <c r="U67" s="4"/>
      <c r="V67" s="4"/>
      <c r="W67" s="4"/>
      <c r="X67" s="4"/>
      <c r="Y67" s="4"/>
    </row>
    <row r="68" spans="1:25" s="2" customFormat="1" ht="15.75" customHeight="1">
      <c r="A68" s="39"/>
      <c r="U68" s="4"/>
      <c r="V68" s="4"/>
      <c r="W68" s="4"/>
      <c r="X68" s="4"/>
      <c r="Y68" s="4"/>
    </row>
    <row r="69" spans="1:25" s="2" customFormat="1" ht="15.75" customHeight="1">
      <c r="A69" s="39"/>
      <c r="U69" s="4"/>
      <c r="V69" s="4"/>
      <c r="W69" s="4"/>
      <c r="X69" s="4"/>
      <c r="Y69" s="4"/>
    </row>
    <row r="70" spans="1:25" s="2" customFormat="1" ht="15.75" customHeight="1">
      <c r="A70" s="39"/>
      <c r="U70" s="4"/>
      <c r="V70" s="4"/>
      <c r="W70" s="4"/>
      <c r="X70" s="4"/>
      <c r="Y70" s="4"/>
    </row>
    <row r="71" spans="1:25" s="2" customFormat="1" ht="15.75" customHeight="1">
      <c r="A71" s="39"/>
      <c r="U71" s="4"/>
      <c r="V71" s="4"/>
      <c r="W71" s="4"/>
      <c r="X71" s="4"/>
      <c r="Y71" s="4"/>
    </row>
    <row r="72" spans="1:25" s="2" customFormat="1" ht="15.75" customHeight="1">
      <c r="A72" s="39"/>
      <c r="U72" s="4"/>
      <c r="V72" s="4"/>
      <c r="W72" s="4"/>
      <c r="X72" s="4"/>
      <c r="Y72" s="4"/>
    </row>
    <row r="73" spans="1:25" s="2" customFormat="1" ht="15.75" customHeight="1">
      <c r="A73" s="39"/>
      <c r="U73" s="4"/>
      <c r="V73" s="4"/>
      <c r="W73" s="4"/>
      <c r="X73" s="4"/>
      <c r="Y73" s="4"/>
    </row>
    <row r="74" spans="1:25" s="2" customFormat="1" ht="15.75" customHeight="1">
      <c r="A74" s="39"/>
      <c r="U74" s="4"/>
      <c r="V74" s="4"/>
      <c r="W74" s="4"/>
      <c r="X74" s="4"/>
      <c r="Y74" s="4"/>
    </row>
    <row r="75" spans="1:25" s="2" customFormat="1" ht="15.75" customHeight="1">
      <c r="A75" s="39"/>
      <c r="U75" s="4"/>
      <c r="V75" s="4"/>
      <c r="W75" s="4"/>
      <c r="X75" s="4"/>
      <c r="Y75" s="4"/>
    </row>
    <row r="76" spans="1:25" s="2" customFormat="1" ht="15.75" customHeight="1">
      <c r="A76" s="39"/>
      <c r="U76" s="4"/>
      <c r="V76" s="4"/>
      <c r="W76" s="4"/>
      <c r="X76" s="4"/>
      <c r="Y76" s="4"/>
    </row>
    <row r="77" spans="1:25" s="2" customFormat="1" ht="15.75" customHeight="1">
      <c r="A77" s="39"/>
      <c r="U77" s="4"/>
      <c r="V77" s="4"/>
      <c r="W77" s="4"/>
      <c r="X77" s="4"/>
      <c r="Y77" s="4"/>
    </row>
    <row r="78" spans="1:25" s="2" customFormat="1" ht="15.75" customHeight="1">
      <c r="A78" s="39"/>
      <c r="U78" s="4"/>
      <c r="V78" s="4"/>
      <c r="W78" s="4"/>
      <c r="X78" s="4"/>
      <c r="Y78" s="4"/>
    </row>
    <row r="79" spans="1:25" s="2" customFormat="1" ht="15.75" customHeight="1">
      <c r="A79" s="39"/>
      <c r="U79" s="4"/>
      <c r="V79" s="4"/>
      <c r="W79" s="4"/>
      <c r="X79" s="4"/>
      <c r="Y79" s="4"/>
    </row>
    <row r="80" spans="1:25" s="2" customFormat="1" ht="15.75" customHeight="1">
      <c r="A80" s="39"/>
      <c r="U80" s="4"/>
      <c r="V80" s="4"/>
      <c r="W80" s="4"/>
      <c r="X80" s="4"/>
      <c r="Y80" s="4"/>
    </row>
    <row r="81" spans="1:25" s="2" customFormat="1" ht="15.75" customHeight="1">
      <c r="A81" s="39"/>
      <c r="U81" s="4"/>
      <c r="V81" s="4"/>
      <c r="W81" s="4"/>
      <c r="X81" s="4"/>
      <c r="Y81" s="4"/>
    </row>
    <row r="82" spans="1:25" s="2" customFormat="1" ht="15.75" customHeight="1">
      <c r="A82" s="39"/>
      <c r="U82" s="4"/>
      <c r="V82" s="4"/>
      <c r="W82" s="4"/>
      <c r="X82" s="4"/>
      <c r="Y82" s="4"/>
    </row>
    <row r="83" spans="1:25" s="2" customFormat="1" ht="15.75" customHeight="1">
      <c r="A83" s="39"/>
      <c r="U83" s="4"/>
      <c r="V83" s="4"/>
      <c r="W83" s="4"/>
      <c r="X83" s="4"/>
      <c r="Y83" s="4"/>
    </row>
    <row r="84" spans="1:25" s="2" customFormat="1" ht="15.75" customHeight="1">
      <c r="A84" s="39"/>
      <c r="U84" s="4"/>
      <c r="V84" s="4"/>
      <c r="W84" s="4"/>
      <c r="X84" s="4"/>
      <c r="Y84" s="4"/>
    </row>
    <row r="85" spans="1:25" s="2" customFormat="1" ht="15.75" customHeight="1">
      <c r="A85" s="39"/>
      <c r="U85" s="4"/>
      <c r="V85" s="4"/>
      <c r="W85" s="4"/>
      <c r="X85" s="4"/>
      <c r="Y85" s="4"/>
    </row>
    <row r="86" spans="1:25" s="2" customFormat="1" ht="15.75" customHeight="1">
      <c r="A86" s="39"/>
      <c r="U86" s="4"/>
      <c r="V86" s="4"/>
      <c r="W86" s="4"/>
      <c r="X86" s="4"/>
      <c r="Y86" s="4"/>
    </row>
    <row r="87" spans="1:25" s="2" customFormat="1" ht="15.75" customHeight="1">
      <c r="A87" s="39"/>
      <c r="U87" s="4"/>
      <c r="V87" s="4"/>
      <c r="W87" s="4"/>
      <c r="X87" s="4"/>
      <c r="Y87" s="4"/>
    </row>
    <row r="88" spans="1:25" s="2" customFormat="1" ht="15.75" customHeight="1">
      <c r="A88" s="39"/>
      <c r="U88" s="4"/>
      <c r="V88" s="4"/>
      <c r="W88" s="4"/>
      <c r="X88" s="4"/>
      <c r="Y88" s="4"/>
    </row>
    <row r="89" spans="1:25" s="2" customFormat="1" ht="15.75" customHeight="1">
      <c r="A89" s="39"/>
      <c r="U89" s="4"/>
      <c r="V89" s="4"/>
      <c r="W89" s="4"/>
      <c r="X89" s="4"/>
      <c r="Y89" s="4"/>
    </row>
    <row r="90" spans="1:25" s="2" customFormat="1" ht="15.75" customHeight="1">
      <c r="A90" s="39"/>
      <c r="U90" s="4"/>
      <c r="V90" s="4"/>
      <c r="W90" s="4"/>
      <c r="X90" s="4"/>
      <c r="Y90" s="4"/>
    </row>
    <row r="91" spans="1:25" s="2" customFormat="1" ht="15.75" customHeight="1">
      <c r="A91" s="39"/>
      <c r="U91" s="4"/>
      <c r="V91" s="4"/>
      <c r="W91" s="4"/>
      <c r="X91" s="4"/>
      <c r="Y91" s="4"/>
    </row>
    <row r="92" spans="1:25" s="2" customFormat="1" ht="15.75" customHeight="1">
      <c r="A92" s="39"/>
      <c r="U92" s="4"/>
      <c r="V92" s="4"/>
      <c r="W92" s="4"/>
      <c r="X92" s="4"/>
      <c r="Y92" s="4"/>
    </row>
    <row r="93" spans="1:25" s="2" customFormat="1" ht="15.75" customHeight="1">
      <c r="A93" s="39"/>
      <c r="U93" s="4"/>
      <c r="V93" s="4"/>
      <c r="W93" s="4"/>
      <c r="X93" s="4"/>
      <c r="Y93" s="4"/>
    </row>
    <row r="94" spans="1:25" s="2" customFormat="1" ht="15.75" customHeight="1">
      <c r="A94" s="39"/>
      <c r="U94" s="4"/>
      <c r="V94" s="4"/>
      <c r="W94" s="4"/>
      <c r="X94" s="4"/>
      <c r="Y94" s="4"/>
    </row>
    <row r="95" spans="1:25" s="2" customFormat="1" ht="15.75" customHeight="1">
      <c r="A95" s="39"/>
      <c r="U95" s="4"/>
      <c r="V95" s="4"/>
      <c r="W95" s="4"/>
      <c r="X95" s="4"/>
      <c r="Y95" s="4"/>
    </row>
    <row r="96" spans="1:25" s="2" customFormat="1" ht="15.75" customHeight="1">
      <c r="A96" s="39"/>
      <c r="U96" s="4"/>
      <c r="V96" s="4"/>
      <c r="W96" s="4"/>
      <c r="X96" s="4"/>
      <c r="Y96" s="4"/>
    </row>
    <row r="97" spans="1:25" s="2" customFormat="1" ht="15.75" customHeight="1">
      <c r="A97" s="39"/>
      <c r="U97" s="4"/>
      <c r="V97" s="4"/>
      <c r="W97" s="4"/>
      <c r="X97" s="4"/>
      <c r="Y97" s="4"/>
    </row>
    <row r="98" spans="1:25" s="2" customFormat="1" ht="15.75" customHeight="1">
      <c r="A98" s="39"/>
      <c r="U98" s="4"/>
      <c r="V98" s="4"/>
      <c r="W98" s="4"/>
      <c r="X98" s="4"/>
      <c r="Y98" s="4"/>
    </row>
    <row r="99" spans="1:25" s="2" customFormat="1" ht="15.75" customHeight="1">
      <c r="A99" s="39"/>
      <c r="U99" s="4"/>
      <c r="V99" s="4"/>
      <c r="W99" s="4"/>
      <c r="X99" s="4"/>
      <c r="Y99" s="4"/>
    </row>
    <row r="100" spans="1:25" s="2" customFormat="1" ht="15.75" customHeight="1">
      <c r="A100" s="39"/>
      <c r="U100" s="4"/>
      <c r="V100" s="4"/>
      <c r="W100" s="4"/>
      <c r="X100" s="4"/>
      <c r="Y100" s="4"/>
    </row>
    <row r="101" spans="1:25" s="2" customFormat="1" ht="15.75" customHeight="1">
      <c r="A101" s="39"/>
      <c r="U101" s="4"/>
      <c r="V101" s="4"/>
      <c r="W101" s="4"/>
      <c r="X101" s="4"/>
      <c r="Y101" s="4"/>
    </row>
    <row r="102" spans="1:25" s="2" customFormat="1" ht="15.75" customHeight="1">
      <c r="A102" s="39"/>
      <c r="U102" s="4"/>
      <c r="V102" s="4"/>
      <c r="W102" s="4"/>
      <c r="X102" s="4"/>
      <c r="Y102" s="4"/>
    </row>
    <row r="103" spans="1:25" s="2" customFormat="1" ht="15.75" customHeight="1">
      <c r="A103" s="39"/>
      <c r="U103" s="4"/>
      <c r="V103" s="4"/>
      <c r="W103" s="4"/>
      <c r="X103" s="4"/>
      <c r="Y103" s="4"/>
    </row>
    <row r="104" spans="1:25" s="2" customFormat="1" ht="15.75" customHeight="1">
      <c r="A104" s="39"/>
      <c r="U104" s="4"/>
      <c r="V104" s="4"/>
      <c r="W104" s="4"/>
      <c r="X104" s="4"/>
      <c r="Y104" s="4"/>
    </row>
    <row r="105" spans="1:25" s="2" customFormat="1" ht="15.75" customHeight="1">
      <c r="A105" s="39"/>
      <c r="U105" s="4"/>
      <c r="V105" s="4"/>
      <c r="W105" s="4"/>
      <c r="X105" s="4"/>
      <c r="Y105" s="4"/>
    </row>
    <row r="106" spans="1:25" s="2" customFormat="1" ht="15.75" customHeight="1">
      <c r="A106" s="39"/>
      <c r="U106" s="4"/>
      <c r="V106" s="4"/>
      <c r="W106" s="4"/>
      <c r="X106" s="4"/>
      <c r="Y106" s="4"/>
    </row>
    <row r="107" spans="1:25" s="2" customFormat="1" ht="15.75" customHeight="1">
      <c r="A107" s="39"/>
      <c r="U107" s="4"/>
      <c r="V107" s="4"/>
      <c r="W107" s="4"/>
      <c r="X107" s="4"/>
      <c r="Y107" s="4"/>
    </row>
    <row r="108" spans="1:25" s="2" customFormat="1" ht="15.75" customHeight="1">
      <c r="A108" s="39"/>
      <c r="U108" s="4"/>
      <c r="V108" s="4"/>
      <c r="W108" s="4"/>
      <c r="X108" s="4"/>
      <c r="Y108" s="4"/>
    </row>
    <row r="109" spans="1:25" s="2" customFormat="1" ht="15.75" customHeight="1">
      <c r="A109" s="39"/>
      <c r="U109" s="4"/>
      <c r="V109" s="4"/>
      <c r="W109" s="4"/>
      <c r="X109" s="4"/>
      <c r="Y109" s="4"/>
    </row>
    <row r="110" spans="1:25" s="2" customFormat="1" ht="15.75" customHeight="1">
      <c r="A110" s="39"/>
      <c r="U110" s="4"/>
      <c r="V110" s="4"/>
      <c r="W110" s="4"/>
      <c r="X110" s="4"/>
      <c r="Y110" s="4"/>
    </row>
    <row r="111" spans="1:25" s="2" customFormat="1" ht="15.75" customHeight="1">
      <c r="A111" s="39"/>
      <c r="U111" s="4"/>
      <c r="V111" s="4"/>
      <c r="W111" s="4"/>
      <c r="X111" s="4"/>
      <c r="Y111" s="4"/>
    </row>
    <row r="112" spans="1:25" s="2" customFormat="1" ht="15.75" customHeight="1">
      <c r="A112" s="39"/>
      <c r="U112" s="4"/>
      <c r="V112" s="4"/>
      <c r="W112" s="4"/>
      <c r="X112" s="4"/>
      <c r="Y112" s="4"/>
    </row>
    <row r="113" spans="1:25" s="2" customFormat="1" ht="15.75" customHeight="1">
      <c r="A113" s="39"/>
      <c r="U113" s="4"/>
      <c r="V113" s="4"/>
      <c r="W113" s="4"/>
      <c r="X113" s="4"/>
      <c r="Y113" s="4"/>
    </row>
    <row r="114" spans="1:25" s="2" customFormat="1" ht="15.75" customHeight="1">
      <c r="A114" s="39"/>
      <c r="U114" s="4"/>
      <c r="V114" s="4"/>
      <c r="W114" s="4"/>
      <c r="X114" s="4"/>
      <c r="Y114" s="4"/>
    </row>
    <row r="115" spans="1:25" s="2" customFormat="1" ht="15.75" customHeight="1">
      <c r="A115" s="39"/>
      <c r="U115" s="4"/>
      <c r="V115" s="4"/>
      <c r="W115" s="4"/>
      <c r="X115" s="4"/>
      <c r="Y115" s="4"/>
    </row>
    <row r="116" spans="1:25" s="2" customFormat="1" ht="15.75" customHeight="1">
      <c r="A116" s="39"/>
      <c r="U116" s="4"/>
      <c r="V116" s="4"/>
      <c r="W116" s="4"/>
      <c r="X116" s="4"/>
      <c r="Y116" s="4"/>
    </row>
    <row r="117" spans="1:25" s="2" customFormat="1" ht="15.75" customHeight="1">
      <c r="A117" s="39"/>
      <c r="U117" s="4"/>
      <c r="V117" s="4"/>
      <c r="W117" s="4"/>
      <c r="X117" s="4"/>
      <c r="Y117" s="4"/>
    </row>
    <row r="118" spans="1:25" s="2" customFormat="1" ht="15.75" customHeight="1">
      <c r="A118" s="39"/>
      <c r="U118" s="4"/>
      <c r="V118" s="4"/>
      <c r="W118" s="4"/>
      <c r="X118" s="4"/>
      <c r="Y118" s="4"/>
    </row>
    <row r="119" spans="1:25" s="2" customFormat="1" ht="15.75" customHeight="1">
      <c r="A119" s="39"/>
      <c r="U119" s="4"/>
      <c r="V119" s="4"/>
      <c r="W119" s="4"/>
      <c r="X119" s="4"/>
      <c r="Y119" s="4"/>
    </row>
    <row r="120" spans="1:25" s="2" customFormat="1" ht="15.75" customHeight="1">
      <c r="A120" s="39"/>
      <c r="U120" s="4"/>
      <c r="V120" s="4"/>
      <c r="W120" s="4"/>
      <c r="X120" s="4"/>
      <c r="Y120" s="4"/>
    </row>
    <row r="121" spans="1:25" s="2" customFormat="1" ht="15.75" customHeight="1">
      <c r="A121" s="39"/>
      <c r="U121" s="4"/>
      <c r="V121" s="4"/>
      <c r="W121" s="4"/>
      <c r="X121" s="4"/>
      <c r="Y121" s="4"/>
    </row>
    <row r="122" spans="1:25" s="2" customFormat="1" ht="15.75" customHeight="1">
      <c r="A122" s="39"/>
      <c r="U122" s="4"/>
      <c r="V122" s="4"/>
      <c r="W122" s="4"/>
      <c r="X122" s="4"/>
      <c r="Y122" s="4"/>
    </row>
    <row r="123" spans="1:25" s="2" customFormat="1" ht="15.75" customHeight="1">
      <c r="A123" s="39"/>
      <c r="U123" s="4"/>
      <c r="V123" s="4"/>
      <c r="W123" s="4"/>
      <c r="X123" s="4"/>
      <c r="Y123" s="4"/>
    </row>
    <row r="124" spans="1:25" s="2" customFormat="1" ht="15.75" customHeight="1">
      <c r="A124" s="39"/>
      <c r="U124" s="4"/>
      <c r="V124" s="4"/>
      <c r="W124" s="4"/>
      <c r="X124" s="4"/>
      <c r="Y124" s="4"/>
    </row>
    <row r="125" spans="1:25" s="2" customFormat="1" ht="15.75" customHeight="1">
      <c r="A125" s="39"/>
      <c r="U125" s="4"/>
      <c r="V125" s="4"/>
      <c r="W125" s="4"/>
      <c r="X125" s="4"/>
      <c r="Y125" s="4"/>
    </row>
    <row r="126" spans="1:25" s="2" customFormat="1" ht="15.75" customHeight="1">
      <c r="A126" s="39"/>
      <c r="U126" s="4"/>
      <c r="V126" s="4"/>
      <c r="W126" s="4"/>
      <c r="X126" s="4"/>
      <c r="Y126" s="4"/>
    </row>
    <row r="127" spans="1:25" s="2" customFormat="1" ht="15.75" customHeight="1">
      <c r="A127" s="39"/>
      <c r="U127" s="4"/>
      <c r="V127" s="4"/>
      <c r="W127" s="4"/>
      <c r="X127" s="4"/>
      <c r="Y127" s="4"/>
    </row>
    <row r="128" spans="1:25" s="2" customFormat="1" ht="15.75" customHeight="1">
      <c r="A128" s="39"/>
      <c r="U128" s="4"/>
      <c r="V128" s="4"/>
      <c r="W128" s="4"/>
      <c r="X128" s="4"/>
      <c r="Y128" s="4"/>
    </row>
    <row r="129" spans="1:25" s="2" customFormat="1" ht="15.75" customHeight="1">
      <c r="A129" s="39"/>
      <c r="U129" s="4"/>
      <c r="V129" s="4"/>
      <c r="W129" s="4"/>
      <c r="X129" s="4"/>
      <c r="Y129" s="4"/>
    </row>
    <row r="130" spans="1:25" s="2" customFormat="1" ht="15.75" customHeight="1">
      <c r="A130" s="39"/>
      <c r="U130" s="4"/>
      <c r="V130" s="4"/>
      <c r="W130" s="4"/>
      <c r="X130" s="4"/>
      <c r="Y130" s="4"/>
    </row>
    <row r="131" spans="1:25" s="2" customFormat="1" ht="15.75" customHeight="1">
      <c r="A131" s="39"/>
      <c r="U131" s="4"/>
      <c r="V131" s="4"/>
      <c r="W131" s="4"/>
      <c r="X131" s="4"/>
      <c r="Y131" s="4"/>
    </row>
    <row r="132" spans="1:25" s="2" customFormat="1" ht="15.75" customHeight="1">
      <c r="A132" s="39"/>
      <c r="U132" s="4"/>
      <c r="V132" s="4"/>
      <c r="W132" s="4"/>
      <c r="X132" s="4"/>
      <c r="Y132" s="4"/>
    </row>
    <row r="133" spans="1:25" s="2" customFormat="1" ht="15.75" customHeight="1">
      <c r="A133" s="39"/>
      <c r="U133" s="4"/>
      <c r="V133" s="4"/>
      <c r="W133" s="4"/>
      <c r="X133" s="4"/>
      <c r="Y133" s="4"/>
    </row>
    <row r="134" spans="1:25" s="2" customFormat="1" ht="15.75" customHeight="1">
      <c r="A134" s="39"/>
      <c r="U134" s="4"/>
      <c r="V134" s="4"/>
      <c r="W134" s="4"/>
      <c r="X134" s="4"/>
      <c r="Y134" s="4"/>
    </row>
    <row r="135" spans="1:25" s="2" customFormat="1" ht="15.75" customHeight="1">
      <c r="A135" s="39"/>
      <c r="U135" s="4"/>
      <c r="V135" s="4"/>
      <c r="W135" s="4"/>
      <c r="X135" s="4"/>
      <c r="Y135" s="4"/>
    </row>
    <row r="136" spans="1:25" s="2" customFormat="1" ht="15.75" customHeight="1">
      <c r="A136" s="39"/>
      <c r="U136" s="4"/>
      <c r="V136" s="4"/>
      <c r="W136" s="4"/>
      <c r="X136" s="4"/>
      <c r="Y136" s="4"/>
    </row>
    <row r="137" spans="1:25" s="2" customFormat="1" ht="15.75" customHeight="1">
      <c r="A137" s="39"/>
      <c r="U137" s="4"/>
      <c r="V137" s="4"/>
      <c r="W137" s="4"/>
      <c r="X137" s="4"/>
      <c r="Y137" s="4"/>
    </row>
    <row r="138" spans="1:25" s="2" customFormat="1" ht="15.75" customHeight="1">
      <c r="A138" s="39"/>
      <c r="U138" s="4"/>
      <c r="V138" s="4"/>
      <c r="W138" s="4"/>
      <c r="X138" s="4"/>
      <c r="Y138" s="4"/>
    </row>
    <row r="139" spans="1:25" s="2" customFormat="1" ht="15.75" customHeight="1">
      <c r="A139" s="39"/>
      <c r="U139" s="4"/>
      <c r="V139" s="4"/>
      <c r="W139" s="4"/>
      <c r="X139" s="4"/>
      <c r="Y139" s="4"/>
    </row>
    <row r="140" spans="1:25" s="2" customFormat="1" ht="15.75" customHeight="1">
      <c r="A140" s="39"/>
      <c r="U140" s="4"/>
      <c r="V140" s="4"/>
      <c r="W140" s="4"/>
      <c r="X140" s="4"/>
      <c r="Y140" s="4"/>
    </row>
    <row r="141" spans="1:25" s="2" customFormat="1" ht="15.75" customHeight="1">
      <c r="A141" s="39"/>
      <c r="U141" s="4"/>
      <c r="V141" s="4"/>
      <c r="W141" s="4"/>
      <c r="X141" s="4"/>
      <c r="Y141" s="4"/>
    </row>
    <row r="142" spans="1:25" s="2" customFormat="1" ht="15.75" customHeight="1">
      <c r="A142" s="39"/>
      <c r="U142" s="4"/>
      <c r="V142" s="4"/>
      <c r="W142" s="4"/>
      <c r="X142" s="4"/>
      <c r="Y142" s="4"/>
    </row>
    <row r="143" spans="1:25" s="2" customFormat="1" ht="15.75" customHeight="1">
      <c r="A143" s="39"/>
      <c r="U143" s="4"/>
      <c r="V143" s="4"/>
      <c r="W143" s="4"/>
      <c r="X143" s="4"/>
      <c r="Y143" s="4"/>
    </row>
    <row r="144" spans="1:25" s="2" customFormat="1" ht="15.75" customHeight="1">
      <c r="A144" s="39"/>
      <c r="U144" s="4"/>
      <c r="V144" s="4"/>
      <c r="W144" s="4"/>
      <c r="X144" s="4"/>
      <c r="Y144" s="4"/>
    </row>
    <row r="145" spans="1:25" s="2" customFormat="1" ht="15.75" customHeight="1">
      <c r="A145" s="39"/>
      <c r="U145" s="4"/>
      <c r="V145" s="4"/>
      <c r="W145" s="4"/>
      <c r="X145" s="4"/>
      <c r="Y145" s="4"/>
    </row>
    <row r="146" spans="1:25" s="2" customFormat="1" ht="15.75" customHeight="1">
      <c r="A146" s="39"/>
      <c r="U146" s="4"/>
      <c r="V146" s="4"/>
      <c r="W146" s="4"/>
      <c r="X146" s="4"/>
      <c r="Y146" s="4"/>
    </row>
    <row r="147" spans="1:25" s="2" customFormat="1" ht="15.75" customHeight="1">
      <c r="A147" s="39"/>
      <c r="U147" s="4"/>
      <c r="V147" s="4"/>
      <c r="W147" s="4"/>
      <c r="X147" s="4"/>
      <c r="Y147" s="4"/>
    </row>
    <row r="148" spans="1:25" s="2" customFormat="1" ht="15.75" customHeight="1">
      <c r="A148" s="39"/>
      <c r="U148" s="4"/>
      <c r="V148" s="4"/>
      <c r="W148" s="4"/>
      <c r="X148" s="4"/>
      <c r="Y148" s="4"/>
    </row>
    <row r="149" spans="1:25" s="2" customFormat="1" ht="15.75" customHeight="1">
      <c r="A149" s="39"/>
      <c r="U149" s="4"/>
      <c r="V149" s="4"/>
      <c r="W149" s="4"/>
      <c r="X149" s="4"/>
      <c r="Y149" s="4"/>
    </row>
    <row r="150" spans="1:25" s="2" customFormat="1" ht="15.75" customHeight="1">
      <c r="A150" s="39"/>
      <c r="U150" s="4"/>
      <c r="V150" s="4"/>
      <c r="W150" s="4"/>
      <c r="X150" s="4"/>
      <c r="Y150" s="4"/>
    </row>
    <row r="151" spans="1:25" s="2" customFormat="1" ht="15.75" customHeight="1">
      <c r="A151" s="39"/>
      <c r="U151" s="4"/>
      <c r="V151" s="4"/>
      <c r="W151" s="4"/>
      <c r="X151" s="4"/>
      <c r="Y151" s="4"/>
    </row>
    <row r="152" spans="1:25" s="2" customFormat="1" ht="15.75" customHeight="1">
      <c r="A152" s="39"/>
      <c r="U152" s="4"/>
      <c r="V152" s="4"/>
      <c r="W152" s="4"/>
      <c r="X152" s="4"/>
      <c r="Y152" s="4"/>
    </row>
    <row r="153" spans="1:25" s="2" customFormat="1" ht="15.75" customHeight="1">
      <c r="A153" s="39"/>
      <c r="U153" s="4"/>
      <c r="V153" s="4"/>
      <c r="W153" s="4"/>
      <c r="X153" s="4"/>
      <c r="Y153" s="4"/>
    </row>
    <row r="154" spans="1:25" s="2" customFormat="1" ht="15.75" customHeight="1">
      <c r="A154" s="39"/>
      <c r="U154" s="4"/>
      <c r="V154" s="4"/>
      <c r="W154" s="4"/>
      <c r="X154" s="4"/>
      <c r="Y154" s="4"/>
    </row>
    <row r="155" spans="1:25" s="2" customFormat="1" ht="15.75" customHeight="1">
      <c r="A155" s="39"/>
      <c r="U155" s="4"/>
      <c r="V155" s="4"/>
      <c r="W155" s="4"/>
      <c r="X155" s="4"/>
      <c r="Y155" s="4"/>
    </row>
    <row r="156" spans="1:25" s="2" customFormat="1" ht="15.75" customHeight="1">
      <c r="A156" s="39"/>
      <c r="U156" s="4"/>
      <c r="V156" s="4"/>
      <c r="W156" s="4"/>
      <c r="X156" s="4"/>
      <c r="Y156" s="4"/>
    </row>
    <row r="157" spans="1:25" s="2" customFormat="1" ht="15.75" customHeight="1">
      <c r="A157" s="39"/>
      <c r="U157" s="4"/>
      <c r="V157" s="4"/>
      <c r="W157" s="4"/>
      <c r="X157" s="4"/>
      <c r="Y157" s="4"/>
    </row>
    <row r="158" spans="1:25" s="2" customFormat="1" ht="15.75" customHeight="1">
      <c r="A158" s="39"/>
      <c r="U158" s="4"/>
      <c r="V158" s="4"/>
      <c r="W158" s="4"/>
      <c r="X158" s="4"/>
      <c r="Y158" s="4"/>
    </row>
    <row r="159" spans="1:25" s="2" customFormat="1" ht="15.75" customHeight="1">
      <c r="A159" s="39"/>
      <c r="U159" s="4"/>
      <c r="V159" s="4"/>
      <c r="W159" s="4"/>
      <c r="X159" s="4"/>
      <c r="Y159" s="4"/>
    </row>
    <row r="160" spans="1:25" s="2" customFormat="1" ht="15.75" customHeight="1">
      <c r="A160" s="39"/>
      <c r="U160" s="4"/>
      <c r="V160" s="4"/>
      <c r="W160" s="4"/>
      <c r="X160" s="4"/>
      <c r="Y160" s="4"/>
    </row>
    <row r="161" spans="1:25" s="2" customFormat="1" ht="15.75" customHeight="1">
      <c r="A161" s="39"/>
      <c r="U161" s="4"/>
      <c r="V161" s="4"/>
      <c r="W161" s="4"/>
      <c r="X161" s="4"/>
      <c r="Y161" s="4"/>
    </row>
    <row r="162" spans="1:25" s="2" customFormat="1" ht="15.75" customHeight="1">
      <c r="A162" s="39"/>
      <c r="U162" s="4"/>
      <c r="V162" s="4"/>
      <c r="W162" s="4"/>
      <c r="X162" s="4"/>
      <c r="Y162" s="4"/>
    </row>
    <row r="163" spans="1:25" s="2" customFormat="1" ht="15.75" customHeight="1">
      <c r="A163" s="39"/>
      <c r="U163" s="4"/>
      <c r="V163" s="4"/>
      <c r="W163" s="4"/>
      <c r="X163" s="4"/>
      <c r="Y163" s="4"/>
    </row>
    <row r="164" spans="1:25" s="2" customFormat="1" ht="15.75" customHeight="1">
      <c r="A164" s="39"/>
      <c r="U164" s="4"/>
      <c r="V164" s="4"/>
      <c r="W164" s="4"/>
      <c r="X164" s="4"/>
      <c r="Y164" s="4"/>
    </row>
    <row r="165" spans="1:25" s="2" customFormat="1" ht="15.75" customHeight="1">
      <c r="A165" s="39"/>
      <c r="U165" s="4"/>
      <c r="V165" s="4"/>
      <c r="W165" s="4"/>
      <c r="X165" s="4"/>
      <c r="Y165" s="4"/>
    </row>
    <row r="166" spans="1:25" s="2" customFormat="1" ht="15.75" customHeight="1">
      <c r="A166" s="39"/>
      <c r="U166" s="4"/>
      <c r="V166" s="4"/>
      <c r="W166" s="4"/>
      <c r="X166" s="4"/>
      <c r="Y166" s="4"/>
    </row>
    <row r="167" spans="1:25" s="2" customFormat="1" ht="15.75" customHeight="1">
      <c r="A167" s="39"/>
      <c r="U167" s="4"/>
      <c r="V167" s="4"/>
      <c r="W167" s="4"/>
      <c r="X167" s="4"/>
      <c r="Y167" s="4"/>
    </row>
    <row r="168" spans="1:25" s="2" customFormat="1" ht="15.75" customHeight="1">
      <c r="A168" s="39"/>
      <c r="U168" s="4"/>
      <c r="V168" s="4"/>
      <c r="W168" s="4"/>
      <c r="X168" s="4"/>
      <c r="Y168" s="4"/>
    </row>
    <row r="169" spans="1:25" s="2" customFormat="1" ht="15.75" customHeight="1">
      <c r="A169" s="39"/>
      <c r="U169" s="4"/>
      <c r="V169" s="4"/>
      <c r="W169" s="4"/>
      <c r="X169" s="4"/>
      <c r="Y169" s="4"/>
    </row>
    <row r="170" spans="1:25" s="2" customFormat="1" ht="15.75" customHeight="1">
      <c r="A170" s="39"/>
      <c r="U170" s="4"/>
      <c r="V170" s="4"/>
      <c r="W170" s="4"/>
      <c r="X170" s="4"/>
      <c r="Y170" s="4"/>
    </row>
    <row r="171" spans="1:25" s="2" customFormat="1" ht="15.75" customHeight="1">
      <c r="A171" s="39"/>
      <c r="U171" s="4"/>
      <c r="V171" s="4"/>
      <c r="W171" s="4"/>
      <c r="X171" s="4"/>
      <c r="Y171" s="4"/>
    </row>
    <row r="172" spans="1:25" s="2" customFormat="1" ht="15.75" customHeight="1">
      <c r="A172" s="39"/>
      <c r="U172" s="4"/>
      <c r="V172" s="4"/>
      <c r="W172" s="4"/>
      <c r="X172" s="4"/>
      <c r="Y172" s="4"/>
    </row>
    <row r="173" spans="1:25" s="2" customFormat="1" ht="15.75" customHeight="1">
      <c r="A173" s="39"/>
      <c r="U173" s="4"/>
      <c r="V173" s="4"/>
      <c r="W173" s="4"/>
      <c r="X173" s="4"/>
      <c r="Y173" s="4"/>
    </row>
    <row r="174" spans="1:25" s="2" customFormat="1" ht="15.75" customHeight="1">
      <c r="A174" s="39"/>
      <c r="U174" s="4"/>
      <c r="V174" s="4"/>
      <c r="W174" s="4"/>
      <c r="X174" s="4"/>
      <c r="Y174" s="4"/>
    </row>
    <row r="175" spans="1:25" s="2" customFormat="1" ht="15.75" customHeight="1">
      <c r="A175" s="39"/>
      <c r="U175" s="4"/>
      <c r="V175" s="4"/>
      <c r="W175" s="4"/>
      <c r="X175" s="4"/>
      <c r="Y175" s="4"/>
    </row>
    <row r="176" spans="1:25" s="2" customFormat="1" ht="15.75" customHeight="1">
      <c r="A176" s="39"/>
      <c r="U176" s="4"/>
      <c r="V176" s="4"/>
      <c r="W176" s="4"/>
      <c r="X176" s="4"/>
      <c r="Y176" s="4"/>
    </row>
    <row r="177" spans="1:25" s="2" customFormat="1" ht="15.75" customHeight="1">
      <c r="A177" s="39"/>
      <c r="U177" s="4"/>
      <c r="V177" s="4"/>
      <c r="W177" s="4"/>
      <c r="X177" s="4"/>
      <c r="Y177" s="4"/>
    </row>
    <row r="178" spans="1:25" s="2" customFormat="1" ht="15.75" customHeight="1">
      <c r="A178" s="39"/>
      <c r="U178" s="4"/>
      <c r="V178" s="4"/>
      <c r="W178" s="4"/>
      <c r="X178" s="4"/>
      <c r="Y178" s="4"/>
    </row>
    <row r="179" spans="1:25" s="2" customFormat="1" ht="15.75" customHeight="1">
      <c r="A179" s="39"/>
      <c r="U179" s="4"/>
      <c r="V179" s="4"/>
      <c r="W179" s="4"/>
      <c r="X179" s="4"/>
      <c r="Y179" s="4"/>
    </row>
    <row r="180" spans="1:25" s="2" customFormat="1" ht="15.75" customHeight="1">
      <c r="A180" s="39"/>
      <c r="U180" s="4"/>
      <c r="V180" s="4"/>
      <c r="W180" s="4"/>
      <c r="X180" s="4"/>
      <c r="Y180" s="4"/>
    </row>
    <row r="181" spans="1:25" s="2" customFormat="1" ht="15.75" customHeight="1">
      <c r="A181" s="39"/>
      <c r="U181" s="4"/>
      <c r="V181" s="4"/>
      <c r="W181" s="4"/>
      <c r="X181" s="4"/>
      <c r="Y181" s="4"/>
    </row>
    <row r="182" spans="1:25" s="2" customFormat="1" ht="15.75" customHeight="1">
      <c r="A182" s="39"/>
      <c r="U182" s="4"/>
      <c r="V182" s="4"/>
      <c r="W182" s="4"/>
      <c r="X182" s="4"/>
      <c r="Y182" s="4"/>
    </row>
    <row r="183" spans="1:25" s="2" customFormat="1" ht="15.75" customHeight="1">
      <c r="A183" s="39"/>
      <c r="U183" s="4"/>
      <c r="V183" s="4"/>
      <c r="W183" s="4"/>
      <c r="X183" s="4"/>
      <c r="Y183" s="4"/>
    </row>
    <row r="184" spans="1:25" s="2" customFormat="1" ht="15.75" customHeight="1">
      <c r="A184" s="39"/>
      <c r="U184" s="4"/>
      <c r="V184" s="4"/>
      <c r="W184" s="4"/>
      <c r="X184" s="4"/>
      <c r="Y184" s="4"/>
    </row>
    <row r="185" spans="1:25" s="2" customFormat="1" ht="15.75" customHeight="1">
      <c r="A185" s="39"/>
      <c r="U185" s="4"/>
      <c r="V185" s="4"/>
      <c r="W185" s="4"/>
      <c r="X185" s="4"/>
      <c r="Y185" s="4"/>
    </row>
    <row r="186" spans="1:25" s="2" customFormat="1" ht="15.75" customHeight="1">
      <c r="A186" s="39"/>
      <c r="U186" s="4"/>
      <c r="V186" s="4"/>
      <c r="W186" s="4"/>
      <c r="X186" s="4"/>
      <c r="Y186" s="4"/>
    </row>
    <row r="187" spans="1:25" s="2" customFormat="1" ht="15.75" customHeight="1">
      <c r="A187" s="39"/>
      <c r="U187" s="4"/>
      <c r="V187" s="4"/>
      <c r="W187" s="4"/>
      <c r="X187" s="4"/>
      <c r="Y187" s="4"/>
    </row>
    <row r="188" spans="1:25" s="2" customFormat="1" ht="15.75" customHeight="1">
      <c r="A188" s="39"/>
      <c r="U188" s="4"/>
      <c r="V188" s="4"/>
      <c r="W188" s="4"/>
      <c r="X188" s="4"/>
      <c r="Y188" s="4"/>
    </row>
    <row r="189" spans="1:25" s="2" customFormat="1" ht="15.75" customHeight="1">
      <c r="A189" s="39"/>
      <c r="U189" s="4"/>
      <c r="V189" s="4"/>
      <c r="W189" s="4"/>
      <c r="X189" s="4"/>
      <c r="Y189" s="4"/>
    </row>
    <row r="190" spans="1:25" s="2" customFormat="1" ht="15.75" customHeight="1">
      <c r="A190" s="39"/>
      <c r="U190" s="4"/>
      <c r="V190" s="4"/>
      <c r="W190" s="4"/>
      <c r="X190" s="4"/>
      <c r="Y190" s="4"/>
    </row>
    <row r="191" spans="1:25" s="2" customFormat="1" ht="15.75" customHeight="1">
      <c r="A191" s="39"/>
      <c r="U191" s="4"/>
      <c r="V191" s="4"/>
      <c r="W191" s="4"/>
      <c r="X191" s="4"/>
      <c r="Y191" s="4"/>
    </row>
    <row r="192" spans="1:25" s="2" customFormat="1" ht="15.75" customHeight="1">
      <c r="A192" s="39"/>
      <c r="U192" s="4"/>
      <c r="V192" s="4"/>
      <c r="W192" s="4"/>
      <c r="X192" s="4"/>
      <c r="Y192" s="4"/>
    </row>
    <row r="193" spans="1:25" s="2" customFormat="1" ht="15.75" customHeight="1">
      <c r="A193" s="39"/>
      <c r="U193" s="4"/>
      <c r="V193" s="4"/>
      <c r="W193" s="4"/>
      <c r="X193" s="4"/>
      <c r="Y193" s="4"/>
    </row>
    <row r="194" spans="1:25" s="2" customFormat="1" ht="15.75" customHeight="1">
      <c r="A194" s="39"/>
      <c r="U194" s="4"/>
      <c r="V194" s="4"/>
      <c r="W194" s="4"/>
      <c r="X194" s="4"/>
      <c r="Y194" s="4"/>
    </row>
    <row r="195" spans="1:25" s="2" customFormat="1" ht="15.75" customHeight="1">
      <c r="A195" s="39"/>
      <c r="U195" s="4"/>
      <c r="V195" s="4"/>
      <c r="W195" s="4"/>
      <c r="X195" s="4"/>
      <c r="Y195" s="4"/>
    </row>
    <row r="196" spans="1:25" s="2" customFormat="1" ht="15.75" customHeight="1">
      <c r="A196" s="39"/>
      <c r="U196" s="4"/>
      <c r="V196" s="4"/>
      <c r="W196" s="4"/>
      <c r="X196" s="4"/>
      <c r="Y196" s="4"/>
    </row>
    <row r="197" spans="1:25" s="2" customFormat="1" ht="15.75" customHeight="1">
      <c r="A197" s="39"/>
      <c r="U197" s="4"/>
      <c r="V197" s="4"/>
      <c r="W197" s="4"/>
      <c r="X197" s="4"/>
      <c r="Y197" s="4"/>
    </row>
    <row r="198" spans="1:25" s="2" customFormat="1" ht="15.75" customHeight="1">
      <c r="A198" s="39"/>
      <c r="U198" s="4"/>
      <c r="V198" s="4"/>
      <c r="W198" s="4"/>
      <c r="X198" s="4"/>
      <c r="Y198" s="4"/>
    </row>
    <row r="199" spans="1:25" s="2" customFormat="1" ht="15.75" customHeight="1">
      <c r="A199" s="39"/>
      <c r="U199" s="4"/>
      <c r="V199" s="4"/>
      <c r="W199" s="4"/>
      <c r="X199" s="4"/>
      <c r="Y199" s="4"/>
    </row>
    <row r="200" spans="1:25" s="2" customFormat="1" ht="15.75" customHeight="1">
      <c r="A200" s="39"/>
      <c r="U200" s="4"/>
      <c r="V200" s="4"/>
      <c r="W200" s="4"/>
      <c r="X200" s="4"/>
      <c r="Y200" s="4"/>
    </row>
    <row r="201" spans="1:25" s="2" customFormat="1" ht="15.75" customHeight="1">
      <c r="A201" s="39"/>
      <c r="U201" s="4"/>
      <c r="V201" s="4"/>
      <c r="W201" s="4"/>
      <c r="X201" s="4"/>
      <c r="Y201" s="4"/>
    </row>
    <row r="202" spans="1:25" s="2" customFormat="1" ht="15.75" customHeight="1">
      <c r="A202" s="39"/>
      <c r="U202" s="4"/>
      <c r="V202" s="4"/>
      <c r="W202" s="4"/>
      <c r="X202" s="4"/>
      <c r="Y202" s="4"/>
    </row>
    <row r="203" spans="1:25" s="2" customFormat="1" ht="15.75" customHeight="1">
      <c r="A203" s="39"/>
      <c r="U203" s="4"/>
      <c r="V203" s="4"/>
      <c r="W203" s="4"/>
      <c r="X203" s="4"/>
      <c r="Y203" s="4"/>
    </row>
    <row r="204" spans="1:25" s="2" customFormat="1" ht="15.75" customHeight="1">
      <c r="A204" s="39"/>
      <c r="U204" s="4"/>
      <c r="V204" s="4"/>
      <c r="W204" s="4"/>
      <c r="X204" s="4"/>
      <c r="Y204" s="4"/>
    </row>
    <row r="205" spans="1:25" s="2" customFormat="1" ht="15.75" customHeight="1">
      <c r="A205" s="39"/>
      <c r="U205" s="4"/>
      <c r="V205" s="4"/>
      <c r="W205" s="4"/>
      <c r="X205" s="4"/>
      <c r="Y205" s="4"/>
    </row>
    <row r="206" spans="1:25" s="2" customFormat="1" ht="15.75" customHeight="1">
      <c r="A206" s="39"/>
      <c r="U206" s="4"/>
      <c r="V206" s="4"/>
      <c r="W206" s="4"/>
      <c r="X206" s="4"/>
      <c r="Y206" s="4"/>
    </row>
    <row r="207" spans="1:25" s="2" customFormat="1" ht="15.75" customHeight="1">
      <c r="A207" s="39"/>
      <c r="U207" s="4"/>
      <c r="V207" s="4"/>
      <c r="W207" s="4"/>
      <c r="X207" s="4"/>
      <c r="Y207" s="4"/>
    </row>
    <row r="208" spans="1:25" s="2" customFormat="1" ht="15.75" customHeight="1">
      <c r="A208" s="39"/>
      <c r="U208" s="4"/>
      <c r="V208" s="4"/>
      <c r="W208" s="4"/>
      <c r="X208" s="4"/>
      <c r="Y208" s="4"/>
    </row>
    <row r="209" spans="1:25" s="2" customFormat="1" ht="15.75" customHeight="1">
      <c r="A209" s="39"/>
      <c r="U209" s="4"/>
      <c r="V209" s="4"/>
      <c r="W209" s="4"/>
      <c r="X209" s="4"/>
      <c r="Y209" s="4"/>
    </row>
    <row r="210" spans="1:25" s="2" customFormat="1" ht="15.75" customHeight="1">
      <c r="A210" s="39"/>
      <c r="U210" s="4"/>
      <c r="V210" s="4"/>
      <c r="W210" s="4"/>
      <c r="X210" s="4"/>
      <c r="Y210" s="4"/>
    </row>
    <row r="211" spans="1:25" s="2" customFormat="1" ht="15.75" customHeight="1">
      <c r="A211" s="39"/>
      <c r="U211" s="4"/>
      <c r="V211" s="4"/>
      <c r="W211" s="4"/>
      <c r="X211" s="4"/>
      <c r="Y211" s="4"/>
    </row>
    <row r="212" spans="1:25" s="2" customFormat="1" ht="15.75" customHeight="1">
      <c r="A212" s="39"/>
      <c r="U212" s="4"/>
      <c r="V212" s="4"/>
      <c r="W212" s="4"/>
      <c r="X212" s="4"/>
      <c r="Y212" s="4"/>
    </row>
    <row r="213" spans="1:25" s="2" customFormat="1" ht="15.75" customHeight="1">
      <c r="A213" s="39"/>
      <c r="U213" s="4"/>
      <c r="V213" s="4"/>
      <c r="W213" s="4"/>
      <c r="X213" s="4"/>
      <c r="Y213" s="4"/>
    </row>
    <row r="214" spans="1:25" s="2" customFormat="1" ht="15.75" customHeight="1">
      <c r="A214" s="39"/>
      <c r="U214" s="4"/>
      <c r="V214" s="4"/>
      <c r="W214" s="4"/>
      <c r="X214" s="4"/>
      <c r="Y214" s="4"/>
    </row>
    <row r="215" spans="1:25" s="2" customFormat="1" ht="15.75" customHeight="1">
      <c r="A215" s="39"/>
      <c r="U215" s="4"/>
      <c r="V215" s="4"/>
      <c r="W215" s="4"/>
      <c r="X215" s="4"/>
      <c r="Y215" s="4"/>
    </row>
    <row r="216" spans="1:25" s="2" customFormat="1" ht="15.75" customHeight="1">
      <c r="A216" s="39"/>
      <c r="U216" s="4"/>
      <c r="V216" s="4"/>
      <c r="W216" s="4"/>
      <c r="X216" s="4"/>
      <c r="Y216" s="4"/>
    </row>
    <row r="217" spans="1:25" s="2" customFormat="1" ht="15.75" customHeight="1">
      <c r="A217" s="39"/>
      <c r="U217" s="4"/>
      <c r="V217" s="4"/>
      <c r="W217" s="4"/>
      <c r="X217" s="4"/>
      <c r="Y217" s="4"/>
    </row>
    <row r="218" spans="1:25" s="2" customFormat="1" ht="15.75" customHeight="1">
      <c r="A218" s="39"/>
      <c r="U218" s="4"/>
      <c r="V218" s="4"/>
      <c r="W218" s="4"/>
      <c r="X218" s="4"/>
      <c r="Y218" s="4"/>
    </row>
    <row r="219" spans="1:25" s="2" customFormat="1" ht="15.75" customHeight="1">
      <c r="A219" s="39"/>
      <c r="U219" s="4"/>
      <c r="V219" s="4"/>
      <c r="W219" s="4"/>
      <c r="X219" s="4"/>
      <c r="Y219" s="4"/>
    </row>
    <row r="220" spans="1:25" s="2" customFormat="1" ht="15.75" customHeight="1">
      <c r="A220" s="39"/>
      <c r="U220" s="4"/>
      <c r="V220" s="4"/>
      <c r="W220" s="4"/>
      <c r="X220" s="4"/>
      <c r="Y220" s="4"/>
    </row>
    <row r="221" spans="1:25" s="2" customFormat="1" ht="15.75" customHeight="1">
      <c r="A221" s="39"/>
      <c r="U221" s="4"/>
      <c r="V221" s="4"/>
      <c r="W221" s="4"/>
      <c r="X221" s="4"/>
      <c r="Y221" s="4"/>
    </row>
    <row r="222" spans="1:25" s="2" customFormat="1" ht="15.75" customHeight="1">
      <c r="A222" s="39"/>
      <c r="U222" s="4"/>
      <c r="V222" s="4"/>
      <c r="W222" s="4"/>
      <c r="X222" s="4"/>
      <c r="Y222" s="4"/>
    </row>
    <row r="223" spans="1:25" s="2" customFormat="1" ht="15.75" customHeight="1">
      <c r="A223" s="39"/>
      <c r="U223" s="4"/>
      <c r="V223" s="4"/>
      <c r="W223" s="4"/>
      <c r="X223" s="4"/>
      <c r="Y223" s="4"/>
    </row>
    <row r="224" spans="1:25" s="2" customFormat="1" ht="15.75" customHeight="1">
      <c r="A224" s="39"/>
      <c r="U224" s="4"/>
      <c r="V224" s="4"/>
      <c r="W224" s="4"/>
      <c r="X224" s="4"/>
      <c r="Y224" s="4"/>
    </row>
    <row r="225" spans="1:25" s="2" customFormat="1" ht="15.75" customHeight="1">
      <c r="A225" s="39"/>
      <c r="U225" s="4"/>
      <c r="V225" s="4"/>
      <c r="W225" s="4"/>
      <c r="X225" s="4"/>
      <c r="Y225" s="4"/>
    </row>
    <row r="226" spans="1:25" s="2" customFormat="1" ht="15.75" customHeight="1">
      <c r="A226" s="39"/>
      <c r="U226" s="4"/>
      <c r="V226" s="4"/>
      <c r="W226" s="4"/>
      <c r="X226" s="4"/>
      <c r="Y226" s="4"/>
    </row>
    <row r="227" spans="1:25" s="2" customFormat="1" ht="15.75" customHeight="1">
      <c r="A227" s="39"/>
      <c r="U227" s="4"/>
      <c r="V227" s="4"/>
      <c r="W227" s="4"/>
      <c r="X227" s="4"/>
      <c r="Y227" s="4"/>
    </row>
    <row r="228" spans="1:25" s="2" customFormat="1" ht="15.75" customHeight="1">
      <c r="A228" s="39"/>
      <c r="U228" s="4"/>
      <c r="V228" s="4"/>
      <c r="W228" s="4"/>
      <c r="X228" s="4"/>
      <c r="Y228" s="4"/>
    </row>
    <row r="229" spans="1:25" s="2" customFormat="1" ht="15.75" customHeight="1">
      <c r="A229" s="39"/>
      <c r="U229" s="4"/>
      <c r="V229" s="4"/>
      <c r="W229" s="4"/>
      <c r="X229" s="4"/>
      <c r="Y229" s="4"/>
    </row>
    <row r="230" spans="1:25" s="2" customFormat="1" ht="15.75" customHeight="1">
      <c r="A230" s="39"/>
      <c r="U230" s="4"/>
      <c r="V230" s="4"/>
      <c r="W230" s="4"/>
      <c r="X230" s="4"/>
      <c r="Y230" s="4"/>
    </row>
    <row r="231" spans="1:25" s="2" customFormat="1" ht="15.75" customHeight="1">
      <c r="A231" s="39"/>
      <c r="U231" s="4"/>
      <c r="V231" s="4"/>
      <c r="W231" s="4"/>
      <c r="X231" s="4"/>
      <c r="Y231" s="4"/>
    </row>
    <row r="232" spans="1:25" s="2" customFormat="1" ht="15.75" customHeight="1">
      <c r="A232" s="39"/>
      <c r="U232" s="4"/>
      <c r="V232" s="4"/>
      <c r="W232" s="4"/>
      <c r="X232" s="4"/>
      <c r="Y232" s="4"/>
    </row>
    <row r="233" spans="1:25" s="2" customFormat="1" ht="15.75" customHeight="1">
      <c r="A233" s="39"/>
      <c r="U233" s="4"/>
      <c r="V233" s="4"/>
      <c r="W233" s="4"/>
      <c r="X233" s="4"/>
      <c r="Y233" s="4"/>
    </row>
    <row r="234" spans="1:25" s="2" customFormat="1" ht="15.75" customHeight="1">
      <c r="A234" s="39"/>
      <c r="U234" s="4"/>
      <c r="V234" s="4"/>
      <c r="W234" s="4"/>
      <c r="X234" s="4"/>
      <c r="Y234" s="4"/>
    </row>
    <row r="235" spans="1:25" s="2" customFormat="1" ht="15.75" customHeight="1">
      <c r="A235" s="39"/>
      <c r="U235" s="4"/>
      <c r="V235" s="4"/>
      <c r="W235" s="4"/>
      <c r="X235" s="4"/>
      <c r="Y235" s="4"/>
    </row>
    <row r="236" spans="1:25" s="2" customFormat="1" ht="15.75" customHeight="1">
      <c r="A236" s="39"/>
      <c r="U236" s="4"/>
      <c r="V236" s="4"/>
      <c r="W236" s="4"/>
      <c r="X236" s="4"/>
      <c r="Y236" s="4"/>
    </row>
    <row r="237" spans="1:25" s="2" customFormat="1" ht="15.75" customHeight="1">
      <c r="A237" s="39"/>
      <c r="U237" s="4"/>
      <c r="V237" s="4"/>
      <c r="W237" s="4"/>
      <c r="X237" s="4"/>
      <c r="Y237" s="4"/>
    </row>
    <row r="238" spans="1:25" s="2" customFormat="1" ht="15.75" customHeight="1">
      <c r="A238" s="39"/>
      <c r="U238" s="4"/>
      <c r="V238" s="4"/>
      <c r="W238" s="4"/>
      <c r="X238" s="4"/>
      <c r="Y238" s="4"/>
    </row>
    <row r="239" spans="1:25" s="2" customFormat="1" ht="15.75" customHeight="1">
      <c r="A239" s="39"/>
      <c r="U239" s="4"/>
      <c r="V239" s="4"/>
      <c r="W239" s="4"/>
      <c r="X239" s="4"/>
      <c r="Y239" s="4"/>
    </row>
    <row r="240" spans="1:25" s="2" customFormat="1" ht="15.75" customHeight="1">
      <c r="A240" s="39"/>
      <c r="U240" s="4"/>
      <c r="V240" s="4"/>
      <c r="W240" s="4"/>
      <c r="X240" s="4"/>
      <c r="Y240" s="4"/>
    </row>
    <row r="241" spans="1:25" s="2" customFormat="1" ht="15.75" customHeight="1">
      <c r="A241" s="39"/>
      <c r="U241" s="4"/>
      <c r="V241" s="4"/>
      <c r="W241" s="4"/>
      <c r="X241" s="4"/>
      <c r="Y241" s="4"/>
    </row>
    <row r="242" spans="1:25" s="2" customFormat="1" ht="15.75" customHeight="1">
      <c r="A242" s="39"/>
      <c r="U242" s="4"/>
      <c r="V242" s="4"/>
      <c r="W242" s="4"/>
      <c r="X242" s="4"/>
      <c r="Y242" s="4"/>
    </row>
    <row r="243" spans="1:25" s="2" customFormat="1" ht="15.75" customHeight="1">
      <c r="A243" s="39"/>
      <c r="U243" s="4"/>
      <c r="V243" s="4"/>
      <c r="W243" s="4"/>
      <c r="X243" s="4"/>
      <c r="Y243" s="4"/>
    </row>
    <row r="244" spans="1:25" s="2" customFormat="1" ht="15.75" customHeight="1">
      <c r="A244" s="39"/>
      <c r="U244" s="4"/>
      <c r="V244" s="4"/>
      <c r="W244" s="4"/>
      <c r="X244" s="4"/>
      <c r="Y244" s="4"/>
    </row>
    <row r="245" spans="1:25" s="2" customFormat="1" ht="15.75" customHeight="1">
      <c r="A245" s="39"/>
      <c r="U245" s="4"/>
      <c r="V245" s="4"/>
      <c r="W245" s="4"/>
      <c r="X245" s="4"/>
      <c r="Y245" s="4"/>
    </row>
    <row r="246" spans="1:25" s="2" customFormat="1" ht="15.75" customHeight="1">
      <c r="A246" s="39"/>
      <c r="U246" s="4"/>
      <c r="V246" s="4"/>
      <c r="W246" s="4"/>
      <c r="X246" s="4"/>
      <c r="Y246" s="4"/>
    </row>
    <row r="247" spans="1:25" s="2" customFormat="1" ht="15.75" customHeight="1">
      <c r="A247" s="39"/>
      <c r="U247" s="4"/>
      <c r="V247" s="4"/>
      <c r="W247" s="4"/>
      <c r="X247" s="4"/>
      <c r="Y247" s="4"/>
    </row>
    <row r="248" spans="1:25" s="2" customFormat="1" ht="15.75" customHeight="1">
      <c r="A248" s="39"/>
      <c r="U248" s="4"/>
      <c r="V248" s="4"/>
      <c r="W248" s="4"/>
      <c r="X248" s="4"/>
      <c r="Y248" s="4"/>
    </row>
    <row r="249" spans="1:25" s="2" customFormat="1" ht="15.75" customHeight="1">
      <c r="A249" s="39"/>
      <c r="U249" s="4"/>
      <c r="V249" s="4"/>
      <c r="W249" s="4"/>
      <c r="X249" s="4"/>
      <c r="Y249" s="4"/>
    </row>
    <row r="250" spans="1:25" s="2" customFormat="1" ht="15.75" customHeight="1">
      <c r="A250" s="39"/>
      <c r="U250" s="4"/>
      <c r="V250" s="4"/>
      <c r="W250" s="4"/>
      <c r="X250" s="4"/>
      <c r="Y250" s="4"/>
    </row>
    <row r="251" spans="1:25" s="2" customFormat="1" ht="15.75" customHeight="1">
      <c r="A251" s="39"/>
      <c r="U251" s="4"/>
      <c r="V251" s="4"/>
      <c r="W251" s="4"/>
      <c r="X251" s="4"/>
      <c r="Y251" s="4"/>
    </row>
    <row r="252" spans="1:25" s="2" customFormat="1" ht="15.75" customHeight="1">
      <c r="A252" s="39"/>
      <c r="U252" s="4"/>
      <c r="V252" s="4"/>
      <c r="W252" s="4"/>
      <c r="X252" s="4"/>
      <c r="Y252" s="4"/>
    </row>
    <row r="253" spans="1:25" s="2" customFormat="1" ht="15.75" customHeight="1">
      <c r="A253" s="39"/>
      <c r="U253" s="4"/>
      <c r="V253" s="4"/>
      <c r="W253" s="4"/>
      <c r="X253" s="4"/>
      <c r="Y253" s="4"/>
    </row>
    <row r="254" spans="1:25" s="2" customFormat="1" ht="15.75" customHeight="1">
      <c r="A254" s="39"/>
      <c r="U254" s="4"/>
      <c r="V254" s="4"/>
      <c r="W254" s="4"/>
      <c r="X254" s="4"/>
      <c r="Y254" s="4"/>
    </row>
    <row r="255" spans="1:25" s="2" customFormat="1" ht="15.75" customHeight="1">
      <c r="A255" s="39"/>
      <c r="U255" s="4"/>
      <c r="V255" s="4"/>
      <c r="W255" s="4"/>
      <c r="X255" s="4"/>
      <c r="Y255" s="4"/>
    </row>
    <row r="256" spans="1:25" s="2" customFormat="1" ht="15.75" customHeight="1">
      <c r="A256" s="39"/>
      <c r="U256" s="4"/>
      <c r="V256" s="4"/>
      <c r="W256" s="4"/>
      <c r="X256" s="4"/>
      <c r="Y256" s="4"/>
    </row>
    <row r="257" spans="1:25" s="2" customFormat="1" ht="15.75" customHeight="1">
      <c r="A257" s="39"/>
      <c r="U257" s="4"/>
      <c r="V257" s="4"/>
      <c r="W257" s="4"/>
      <c r="X257" s="4"/>
      <c r="Y257" s="4"/>
    </row>
    <row r="258" spans="1:25" s="2" customFormat="1" ht="15.75" customHeight="1">
      <c r="A258" s="39"/>
      <c r="U258" s="4"/>
      <c r="V258" s="4"/>
      <c r="W258" s="4"/>
      <c r="X258" s="4"/>
      <c r="Y258" s="4"/>
    </row>
    <row r="259" spans="1:25" s="2" customFormat="1" ht="15.75" customHeight="1">
      <c r="A259" s="39"/>
      <c r="U259" s="4"/>
      <c r="V259" s="4"/>
      <c r="W259" s="4"/>
      <c r="X259" s="4"/>
      <c r="Y259" s="4"/>
    </row>
    <row r="260" spans="1:25" s="2" customFormat="1" ht="15.75" customHeight="1">
      <c r="A260" s="39"/>
      <c r="U260" s="4"/>
      <c r="V260" s="4"/>
      <c r="W260" s="4"/>
      <c r="X260" s="4"/>
      <c r="Y260" s="4"/>
    </row>
    <row r="261" spans="1:25" s="2" customFormat="1" ht="15.75" customHeight="1">
      <c r="A261" s="39"/>
      <c r="U261" s="4"/>
      <c r="V261" s="4"/>
      <c r="W261" s="4"/>
      <c r="X261" s="4"/>
      <c r="Y261" s="4"/>
    </row>
    <row r="262" spans="1:25" s="2" customFormat="1" ht="15.75" customHeight="1">
      <c r="A262" s="39"/>
      <c r="U262" s="4"/>
      <c r="V262" s="4"/>
      <c r="W262" s="4"/>
      <c r="X262" s="4"/>
      <c r="Y262" s="4"/>
    </row>
    <row r="263" spans="1:25" s="2" customFormat="1" ht="15.75" customHeight="1">
      <c r="A263" s="39"/>
      <c r="U263" s="4"/>
      <c r="V263" s="4"/>
      <c r="W263" s="4"/>
      <c r="X263" s="4"/>
      <c r="Y263" s="4"/>
    </row>
    <row r="264" spans="1:25" s="2" customFormat="1" ht="15.75" customHeight="1">
      <c r="A264" s="39"/>
      <c r="U264" s="4"/>
      <c r="V264" s="4"/>
      <c r="W264" s="4"/>
      <c r="X264" s="4"/>
      <c r="Y264" s="4"/>
    </row>
    <row r="265" spans="1:25" s="2" customFormat="1" ht="15.75" customHeight="1">
      <c r="A265" s="39"/>
      <c r="U265" s="4"/>
      <c r="V265" s="4"/>
      <c r="W265" s="4"/>
      <c r="X265" s="4"/>
      <c r="Y265" s="4"/>
    </row>
    <row r="266" spans="1:25" s="2" customFormat="1" ht="15.75" customHeight="1">
      <c r="A266" s="39"/>
      <c r="U266" s="4"/>
      <c r="V266" s="4"/>
      <c r="W266" s="4"/>
      <c r="X266" s="4"/>
      <c r="Y266" s="4"/>
    </row>
    <row r="267" spans="1:25" s="2" customFormat="1" ht="15.75" customHeight="1">
      <c r="A267" s="39"/>
      <c r="U267" s="4"/>
      <c r="V267" s="4"/>
      <c r="W267" s="4"/>
      <c r="X267" s="4"/>
      <c r="Y267" s="4"/>
    </row>
    <row r="268" spans="1:25" s="2" customFormat="1" ht="15.75" customHeight="1">
      <c r="A268" s="39"/>
      <c r="U268" s="4"/>
      <c r="V268" s="4"/>
      <c r="W268" s="4"/>
      <c r="X268" s="4"/>
      <c r="Y268" s="4"/>
    </row>
    <row r="269" spans="1:25" s="2" customFormat="1" ht="15.75" customHeight="1">
      <c r="A269" s="39"/>
      <c r="U269" s="4"/>
      <c r="V269" s="4"/>
      <c r="W269" s="4"/>
      <c r="X269" s="4"/>
      <c r="Y269" s="4"/>
    </row>
    <row r="270" spans="1:25" s="2" customFormat="1" ht="15.75" customHeight="1">
      <c r="A270" s="39"/>
      <c r="U270" s="4"/>
      <c r="V270" s="4"/>
      <c r="W270" s="4"/>
      <c r="X270" s="4"/>
      <c r="Y270" s="4"/>
    </row>
    <row r="271" spans="1:25" s="2" customFormat="1" ht="15.75" customHeight="1">
      <c r="A271" s="39"/>
      <c r="U271" s="4"/>
      <c r="V271" s="4"/>
      <c r="W271" s="4"/>
      <c r="X271" s="4"/>
      <c r="Y271" s="4"/>
    </row>
    <row r="272" spans="1:25" s="2" customFormat="1" ht="15.75" customHeight="1">
      <c r="A272" s="39"/>
      <c r="U272" s="4"/>
      <c r="V272" s="4"/>
      <c r="W272" s="4"/>
      <c r="X272" s="4"/>
      <c r="Y272" s="4"/>
    </row>
    <row r="273" spans="1:25" s="2" customFormat="1" ht="15.75" customHeight="1">
      <c r="A273" s="39"/>
      <c r="U273" s="4"/>
      <c r="V273" s="4"/>
      <c r="W273" s="4"/>
      <c r="X273" s="4"/>
      <c r="Y273" s="4"/>
    </row>
    <row r="274" spans="1:25" s="2" customFormat="1" ht="15.75" customHeight="1">
      <c r="A274" s="39"/>
      <c r="U274" s="4"/>
      <c r="V274" s="4"/>
      <c r="W274" s="4"/>
      <c r="X274" s="4"/>
      <c r="Y274" s="4"/>
    </row>
    <row r="275" spans="1:25" s="2" customFormat="1" ht="15.75" customHeight="1">
      <c r="A275" s="39"/>
      <c r="U275" s="4"/>
      <c r="V275" s="4"/>
      <c r="W275" s="4"/>
      <c r="X275" s="4"/>
      <c r="Y275" s="4"/>
    </row>
    <row r="276" spans="1:25" s="2" customFormat="1" ht="15.75" customHeight="1">
      <c r="A276" s="39"/>
      <c r="U276" s="4"/>
      <c r="V276" s="4"/>
      <c r="W276" s="4"/>
      <c r="X276" s="4"/>
      <c r="Y276" s="4"/>
    </row>
    <row r="277" spans="1:25" s="2" customFormat="1" ht="15.75" customHeight="1">
      <c r="A277" s="39"/>
      <c r="U277" s="4"/>
      <c r="V277" s="4"/>
      <c r="W277" s="4"/>
      <c r="X277" s="4"/>
      <c r="Y277" s="4"/>
    </row>
    <row r="278" spans="1:25" s="2" customFormat="1" ht="15.75" customHeight="1">
      <c r="A278" s="39"/>
      <c r="U278" s="4"/>
      <c r="V278" s="4"/>
      <c r="W278" s="4"/>
      <c r="X278" s="4"/>
      <c r="Y278" s="4"/>
    </row>
    <row r="279" spans="1:25" s="2" customFormat="1" ht="15.75" customHeight="1">
      <c r="A279" s="39"/>
      <c r="U279" s="4"/>
      <c r="V279" s="4"/>
      <c r="W279" s="4"/>
      <c r="X279" s="4"/>
      <c r="Y279" s="4"/>
    </row>
    <row r="280" spans="1:25" s="2" customFormat="1" ht="15.75" customHeight="1">
      <c r="A280" s="39"/>
      <c r="U280" s="4"/>
      <c r="V280" s="4"/>
      <c r="W280" s="4"/>
      <c r="X280" s="4"/>
      <c r="Y280" s="4"/>
    </row>
    <row r="281" spans="1:25" s="2" customFormat="1" ht="15.75" customHeight="1">
      <c r="A281" s="39"/>
      <c r="U281" s="4"/>
      <c r="V281" s="4"/>
      <c r="W281" s="4"/>
      <c r="X281" s="4"/>
      <c r="Y281" s="4"/>
    </row>
    <row r="282" spans="1:25" s="2" customFormat="1" ht="15.75" customHeight="1">
      <c r="A282" s="39"/>
      <c r="U282" s="4"/>
      <c r="V282" s="4"/>
      <c r="W282" s="4"/>
      <c r="X282" s="4"/>
      <c r="Y282" s="4"/>
    </row>
    <row r="283" spans="1:25" s="2" customFormat="1" ht="15.75" customHeight="1">
      <c r="A283" s="39"/>
      <c r="U283" s="4"/>
      <c r="V283" s="4"/>
      <c r="W283" s="4"/>
      <c r="X283" s="4"/>
      <c r="Y283" s="4"/>
    </row>
    <row r="284" spans="1:25" s="2" customFormat="1" ht="15.75" customHeight="1">
      <c r="A284" s="39"/>
      <c r="U284" s="4"/>
      <c r="V284" s="4"/>
      <c r="W284" s="4"/>
      <c r="X284" s="4"/>
      <c r="Y284" s="4"/>
    </row>
    <row r="285" spans="1:25" s="2" customFormat="1" ht="15.75" customHeight="1">
      <c r="A285" s="39"/>
      <c r="U285" s="4"/>
      <c r="V285" s="4"/>
      <c r="W285" s="4"/>
      <c r="X285" s="4"/>
      <c r="Y285" s="4"/>
    </row>
    <row r="286" spans="1:25" s="2" customFormat="1" ht="15.75" customHeight="1">
      <c r="A286" s="39"/>
      <c r="U286" s="4"/>
      <c r="V286" s="4"/>
      <c r="W286" s="4"/>
      <c r="X286" s="4"/>
      <c r="Y286" s="4"/>
    </row>
    <row r="287" spans="1:25" s="2" customFormat="1" ht="15.75" customHeight="1">
      <c r="A287" s="39"/>
      <c r="U287" s="4"/>
      <c r="V287" s="4"/>
      <c r="W287" s="4"/>
      <c r="X287" s="4"/>
      <c r="Y287" s="4"/>
    </row>
    <row r="288" spans="1:25" s="2" customFormat="1" ht="15.75" customHeight="1">
      <c r="A288" s="39"/>
      <c r="U288" s="4"/>
      <c r="V288" s="4"/>
      <c r="W288" s="4"/>
      <c r="X288" s="4"/>
      <c r="Y288" s="4"/>
    </row>
    <row r="289" spans="1:25" s="2" customFormat="1" ht="15.75" customHeight="1">
      <c r="A289" s="39"/>
      <c r="U289" s="4"/>
      <c r="V289" s="4"/>
      <c r="W289" s="4"/>
      <c r="X289" s="4"/>
      <c r="Y289" s="4"/>
    </row>
    <row r="290" spans="1:25" s="2" customFormat="1" ht="15.75" customHeight="1">
      <c r="A290" s="39"/>
      <c r="U290" s="4"/>
      <c r="V290" s="4"/>
      <c r="W290" s="4"/>
      <c r="X290" s="4"/>
      <c r="Y290" s="4"/>
    </row>
    <row r="291" spans="1:25" s="2" customFormat="1" ht="15.75" customHeight="1">
      <c r="A291" s="39"/>
      <c r="U291" s="4"/>
      <c r="V291" s="4"/>
      <c r="W291" s="4"/>
      <c r="X291" s="4"/>
      <c r="Y291" s="4"/>
    </row>
    <row r="292" spans="1:25" s="2" customFormat="1" ht="15.75" customHeight="1">
      <c r="A292" s="39"/>
      <c r="U292" s="4"/>
      <c r="V292" s="4"/>
      <c r="W292" s="4"/>
      <c r="X292" s="4"/>
      <c r="Y292" s="4"/>
    </row>
    <row r="293" spans="1:25" s="2" customFormat="1" ht="15.75" customHeight="1">
      <c r="A293" s="39"/>
      <c r="U293" s="4"/>
      <c r="V293" s="4"/>
      <c r="W293" s="4"/>
      <c r="X293" s="4"/>
      <c r="Y293" s="4"/>
    </row>
    <row r="294" spans="1:25" s="2" customFormat="1" ht="15.75" customHeight="1">
      <c r="A294" s="39"/>
      <c r="U294" s="4"/>
      <c r="V294" s="4"/>
      <c r="W294" s="4"/>
      <c r="X294" s="4"/>
      <c r="Y294" s="4"/>
    </row>
    <row r="295" spans="1:25" s="2" customFormat="1" ht="15.75" customHeight="1">
      <c r="A295" s="39"/>
      <c r="U295" s="4"/>
      <c r="V295" s="4"/>
      <c r="W295" s="4"/>
      <c r="X295" s="4"/>
      <c r="Y295" s="4"/>
    </row>
    <row r="296" spans="1:25" s="2" customFormat="1" ht="15.75" customHeight="1">
      <c r="A296" s="39"/>
      <c r="U296" s="4"/>
      <c r="V296" s="4"/>
      <c r="W296" s="4"/>
      <c r="X296" s="4"/>
      <c r="Y296" s="4"/>
    </row>
    <row r="297" spans="1:25" s="2" customFormat="1" ht="15.75" customHeight="1">
      <c r="A297" s="39"/>
      <c r="U297" s="4"/>
      <c r="V297" s="4"/>
      <c r="W297" s="4"/>
      <c r="X297" s="4"/>
      <c r="Y297" s="4"/>
    </row>
    <row r="298" spans="1:25" s="2" customFormat="1" ht="15.75" customHeight="1">
      <c r="A298" s="39"/>
      <c r="U298" s="4"/>
      <c r="V298" s="4"/>
      <c r="W298" s="4"/>
      <c r="X298" s="4"/>
      <c r="Y298" s="4"/>
    </row>
    <row r="299" spans="1:25" s="2" customFormat="1" ht="15.75" customHeight="1">
      <c r="A299" s="39"/>
      <c r="U299" s="4"/>
      <c r="V299" s="4"/>
      <c r="W299" s="4"/>
      <c r="X299" s="4"/>
      <c r="Y299" s="4"/>
    </row>
    <row r="300" spans="1:25" s="2" customFormat="1" ht="15.75" customHeight="1">
      <c r="A300" s="39"/>
      <c r="U300" s="4"/>
      <c r="V300" s="4"/>
      <c r="W300" s="4"/>
      <c r="X300" s="4"/>
      <c r="Y300" s="4"/>
    </row>
    <row r="301" spans="1:25" s="2" customFormat="1" ht="15.75" customHeight="1">
      <c r="A301" s="39"/>
      <c r="U301" s="4"/>
      <c r="V301" s="4"/>
      <c r="W301" s="4"/>
      <c r="X301" s="4"/>
      <c r="Y301" s="4"/>
    </row>
    <row r="302" spans="1:25" s="2" customFormat="1" ht="15.75" customHeight="1">
      <c r="A302" s="39"/>
      <c r="U302" s="4"/>
      <c r="V302" s="4"/>
      <c r="W302" s="4"/>
      <c r="X302" s="4"/>
      <c r="Y302" s="4"/>
    </row>
    <row r="303" spans="1:25" s="2" customFormat="1" ht="15.75" customHeight="1">
      <c r="A303" s="39"/>
      <c r="U303" s="4"/>
      <c r="V303" s="4"/>
      <c r="W303" s="4"/>
      <c r="X303" s="4"/>
      <c r="Y303" s="4"/>
    </row>
    <row r="304" spans="1:25" s="2" customFormat="1" ht="15.75" customHeight="1">
      <c r="A304" s="39"/>
      <c r="U304" s="4"/>
      <c r="V304" s="4"/>
      <c r="W304" s="4"/>
      <c r="X304" s="4"/>
      <c r="Y304" s="4"/>
    </row>
    <row r="305" spans="1:25" s="2" customFormat="1" ht="15.75" customHeight="1">
      <c r="A305" s="39"/>
      <c r="U305" s="4"/>
      <c r="V305" s="4"/>
      <c r="W305" s="4"/>
      <c r="X305" s="4"/>
      <c r="Y305" s="4"/>
    </row>
    <row r="306" spans="1:25" s="2" customFormat="1" ht="15.75" customHeight="1">
      <c r="A306" s="39"/>
      <c r="U306" s="4"/>
      <c r="V306" s="4"/>
      <c r="W306" s="4"/>
      <c r="X306" s="4"/>
      <c r="Y306" s="4"/>
    </row>
    <row r="307" spans="1:25" s="2" customFormat="1" ht="15.75" customHeight="1">
      <c r="A307" s="39"/>
      <c r="U307" s="4"/>
      <c r="V307" s="4"/>
      <c r="W307" s="4"/>
      <c r="X307" s="4"/>
      <c r="Y307" s="4"/>
    </row>
    <row r="308" spans="1:25" s="2" customFormat="1" ht="15.75" customHeight="1">
      <c r="A308" s="39"/>
      <c r="U308" s="4"/>
      <c r="V308" s="4"/>
      <c r="W308" s="4"/>
      <c r="X308" s="4"/>
      <c r="Y308" s="4"/>
    </row>
    <row r="309" spans="1:25" s="2" customFormat="1" ht="15.75" customHeight="1">
      <c r="A309" s="39"/>
      <c r="U309" s="4"/>
      <c r="V309" s="4"/>
      <c r="W309" s="4"/>
      <c r="X309" s="4"/>
      <c r="Y309" s="4"/>
    </row>
    <row r="310" spans="1:25" s="2" customFormat="1" ht="15.75" customHeight="1">
      <c r="A310" s="39"/>
      <c r="U310" s="4"/>
      <c r="V310" s="4"/>
      <c r="W310" s="4"/>
      <c r="X310" s="4"/>
      <c r="Y310" s="4"/>
    </row>
    <row r="311" spans="1:25" s="2" customFormat="1" ht="15.75" customHeight="1">
      <c r="A311" s="39"/>
      <c r="U311" s="4"/>
      <c r="V311" s="4"/>
      <c r="W311" s="4"/>
      <c r="X311" s="4"/>
      <c r="Y311" s="4"/>
    </row>
    <row r="312" spans="1:25" s="2" customFormat="1" ht="15.75" customHeight="1">
      <c r="A312" s="39"/>
      <c r="U312" s="4"/>
      <c r="V312" s="4"/>
      <c r="W312" s="4"/>
      <c r="X312" s="4"/>
      <c r="Y312" s="4"/>
    </row>
    <row r="313" spans="1:25" s="2" customFormat="1" ht="15.75" customHeight="1">
      <c r="A313" s="39"/>
      <c r="U313" s="4"/>
      <c r="V313" s="4"/>
      <c r="W313" s="4"/>
      <c r="X313" s="4"/>
      <c r="Y313" s="4"/>
    </row>
    <row r="314" spans="1:25" s="2" customFormat="1" ht="15.75" customHeight="1">
      <c r="A314" s="39"/>
      <c r="U314" s="4"/>
      <c r="V314" s="4"/>
      <c r="W314" s="4"/>
      <c r="X314" s="4"/>
      <c r="Y314" s="4"/>
    </row>
    <row r="315" spans="1:25" s="2" customFormat="1" ht="15.75" customHeight="1">
      <c r="A315" s="39"/>
      <c r="U315" s="4"/>
      <c r="V315" s="4"/>
      <c r="W315" s="4"/>
      <c r="X315" s="4"/>
      <c r="Y315" s="4"/>
    </row>
    <row r="316" spans="1:25" s="2" customFormat="1" ht="15.75" customHeight="1">
      <c r="A316" s="39"/>
      <c r="U316" s="4"/>
      <c r="V316" s="4"/>
      <c r="W316" s="4"/>
      <c r="X316" s="4"/>
      <c r="Y316" s="4"/>
    </row>
    <row r="317" spans="1:25" s="2" customFormat="1" ht="15.75" customHeight="1">
      <c r="A317" s="39"/>
      <c r="U317" s="4"/>
      <c r="V317" s="4"/>
      <c r="W317" s="4"/>
      <c r="X317" s="4"/>
      <c r="Y317" s="4"/>
    </row>
    <row r="318" spans="1:25" s="2" customFormat="1" ht="15.75" customHeight="1">
      <c r="A318" s="39"/>
      <c r="U318" s="4"/>
      <c r="V318" s="4"/>
      <c r="W318" s="4"/>
      <c r="X318" s="4"/>
      <c r="Y318" s="4"/>
    </row>
    <row r="319" spans="1:25" s="2" customFormat="1" ht="15.75" customHeight="1">
      <c r="A319" s="39"/>
      <c r="U319" s="4"/>
      <c r="V319" s="4"/>
      <c r="W319" s="4"/>
      <c r="X319" s="4"/>
      <c r="Y319" s="4"/>
    </row>
    <row r="320" spans="1:25" s="2" customFormat="1" ht="15.75" customHeight="1">
      <c r="A320" s="39"/>
      <c r="U320" s="4"/>
      <c r="V320" s="4"/>
      <c r="W320" s="4"/>
      <c r="X320" s="4"/>
      <c r="Y320" s="4"/>
    </row>
    <row r="321" spans="1:25" s="2" customFormat="1" ht="15.75" customHeight="1">
      <c r="A321" s="39"/>
      <c r="U321" s="4"/>
      <c r="V321" s="4"/>
      <c r="W321" s="4"/>
      <c r="X321" s="4"/>
      <c r="Y321" s="4"/>
    </row>
    <row r="322" spans="1:25" s="2" customFormat="1" ht="15.75" customHeight="1">
      <c r="A322" s="39"/>
      <c r="U322" s="4"/>
      <c r="V322" s="4"/>
      <c r="W322" s="4"/>
      <c r="X322" s="4"/>
      <c r="Y322" s="4"/>
    </row>
    <row r="323" spans="1:25" s="2" customFormat="1" ht="15.75" customHeight="1">
      <c r="A323" s="39"/>
      <c r="U323" s="4"/>
      <c r="V323" s="4"/>
      <c r="W323" s="4"/>
      <c r="X323" s="4"/>
      <c r="Y323" s="4"/>
    </row>
    <row r="324" spans="1:25" s="2" customFormat="1" ht="15.75" customHeight="1">
      <c r="A324" s="39"/>
      <c r="U324" s="4"/>
      <c r="V324" s="4"/>
      <c r="W324" s="4"/>
      <c r="X324" s="4"/>
      <c r="Y324" s="4"/>
    </row>
    <row r="325" spans="1:25" s="2" customFormat="1" ht="15.75" customHeight="1">
      <c r="A325" s="39"/>
      <c r="U325" s="4"/>
      <c r="V325" s="4"/>
      <c r="W325" s="4"/>
      <c r="X325" s="4"/>
      <c r="Y325" s="4"/>
    </row>
    <row r="326" spans="1:25" s="2" customFormat="1" ht="15.75" customHeight="1">
      <c r="A326" s="39"/>
      <c r="U326" s="4"/>
      <c r="V326" s="4"/>
      <c r="W326" s="4"/>
      <c r="X326" s="4"/>
      <c r="Y326" s="4"/>
    </row>
    <row r="327" spans="1:25" s="2" customFormat="1" ht="15.75" customHeight="1">
      <c r="A327" s="39"/>
      <c r="U327" s="4"/>
      <c r="V327" s="4"/>
      <c r="W327" s="4"/>
      <c r="X327" s="4"/>
      <c r="Y327" s="4"/>
    </row>
    <row r="328" spans="1:25" s="2" customFormat="1" ht="15.75" customHeight="1">
      <c r="A328" s="39"/>
      <c r="U328" s="4"/>
      <c r="V328" s="4"/>
      <c r="W328" s="4"/>
      <c r="X328" s="4"/>
      <c r="Y328" s="4"/>
    </row>
    <row r="329" spans="1:25" s="2" customFormat="1" ht="15.75" customHeight="1">
      <c r="A329" s="39"/>
      <c r="U329" s="4"/>
      <c r="V329" s="4"/>
      <c r="W329" s="4"/>
      <c r="X329" s="4"/>
      <c r="Y329" s="4"/>
    </row>
    <row r="330" spans="1:25" s="2" customFormat="1" ht="15.75" customHeight="1">
      <c r="A330" s="39"/>
      <c r="U330" s="4"/>
      <c r="V330" s="4"/>
      <c r="W330" s="4"/>
      <c r="X330" s="4"/>
      <c r="Y330" s="4"/>
    </row>
    <row r="331" spans="1:25" s="2" customFormat="1" ht="15.75" customHeight="1">
      <c r="A331" s="39"/>
      <c r="U331" s="4"/>
      <c r="V331" s="4"/>
      <c r="W331" s="4"/>
      <c r="X331" s="4"/>
      <c r="Y331" s="4"/>
    </row>
    <row r="332" spans="1:25" s="2" customFormat="1" ht="15.75" customHeight="1">
      <c r="A332" s="39"/>
      <c r="U332" s="4"/>
      <c r="V332" s="4"/>
      <c r="W332" s="4"/>
      <c r="X332" s="4"/>
      <c r="Y332" s="4"/>
    </row>
    <row r="333" spans="1:25" s="2" customFormat="1" ht="15.75" customHeight="1">
      <c r="A333" s="39"/>
      <c r="U333" s="4"/>
      <c r="V333" s="4"/>
      <c r="W333" s="4"/>
      <c r="X333" s="4"/>
      <c r="Y333" s="4"/>
    </row>
    <row r="334" spans="1:25" s="2" customFormat="1" ht="15.75" customHeight="1">
      <c r="A334" s="39"/>
      <c r="U334" s="4"/>
      <c r="V334" s="4"/>
      <c r="W334" s="4"/>
      <c r="X334" s="4"/>
      <c r="Y334" s="4"/>
    </row>
    <row r="335" spans="1:25" s="2" customFormat="1" ht="15.75" customHeight="1">
      <c r="A335" s="39"/>
      <c r="U335" s="4"/>
      <c r="V335" s="4"/>
      <c r="W335" s="4"/>
      <c r="X335" s="4"/>
      <c r="Y335" s="4"/>
    </row>
    <row r="336" spans="1:25" s="2" customFormat="1" ht="15.75" customHeight="1">
      <c r="A336" s="39"/>
      <c r="U336" s="4"/>
      <c r="V336" s="4"/>
      <c r="W336" s="4"/>
      <c r="X336" s="4"/>
      <c r="Y336" s="4"/>
    </row>
    <row r="337" spans="1:25" s="2" customFormat="1" ht="15.75" customHeight="1">
      <c r="A337" s="39"/>
      <c r="U337" s="4"/>
      <c r="V337" s="4"/>
      <c r="W337" s="4"/>
      <c r="X337" s="4"/>
      <c r="Y337" s="4"/>
    </row>
    <row r="338" spans="1:25" s="2" customFormat="1" ht="15.75" customHeight="1">
      <c r="A338" s="39"/>
      <c r="U338" s="4"/>
      <c r="V338" s="4"/>
      <c r="W338" s="4"/>
      <c r="X338" s="4"/>
      <c r="Y338" s="4"/>
    </row>
    <row r="339" spans="1:25" s="2" customFormat="1" ht="15.75" customHeight="1">
      <c r="A339" s="39"/>
      <c r="U339" s="4"/>
      <c r="V339" s="4"/>
      <c r="W339" s="4"/>
      <c r="X339" s="4"/>
      <c r="Y339" s="4"/>
    </row>
    <row r="340" spans="1:25" s="2" customFormat="1" ht="15.75" customHeight="1">
      <c r="A340" s="39"/>
      <c r="U340" s="4"/>
      <c r="V340" s="4"/>
      <c r="W340" s="4"/>
      <c r="X340" s="4"/>
      <c r="Y340" s="4"/>
    </row>
    <row r="341" spans="1:25" s="2" customFormat="1" ht="15.75" customHeight="1">
      <c r="A341" s="39"/>
      <c r="U341" s="4"/>
      <c r="V341" s="4"/>
      <c r="W341" s="4"/>
      <c r="X341" s="4"/>
      <c r="Y341" s="4"/>
    </row>
    <row r="342" spans="1:25" s="2" customFormat="1" ht="15.75" customHeight="1">
      <c r="A342" s="39"/>
      <c r="U342" s="4"/>
      <c r="V342" s="4"/>
      <c r="W342" s="4"/>
      <c r="X342" s="4"/>
      <c r="Y342" s="4"/>
    </row>
    <row r="343" spans="1:25" s="2" customFormat="1" ht="15.75" customHeight="1">
      <c r="A343" s="39"/>
      <c r="U343" s="4"/>
      <c r="V343" s="4"/>
      <c r="W343" s="4"/>
      <c r="X343" s="4"/>
      <c r="Y343" s="4"/>
    </row>
    <row r="344" spans="1:25" s="2" customFormat="1" ht="15.75" customHeight="1">
      <c r="A344" s="39"/>
      <c r="U344" s="4"/>
      <c r="V344" s="4"/>
      <c r="W344" s="4"/>
      <c r="X344" s="4"/>
      <c r="Y344" s="4"/>
    </row>
    <row r="345" spans="1:25" s="2" customFormat="1" ht="15.75" customHeight="1">
      <c r="A345" s="39"/>
      <c r="U345" s="4"/>
      <c r="V345" s="4"/>
      <c r="W345" s="4"/>
      <c r="X345" s="4"/>
      <c r="Y345" s="4"/>
    </row>
    <row r="346" spans="1:25" s="2" customFormat="1" ht="15.75" customHeight="1">
      <c r="A346" s="39"/>
      <c r="U346" s="4"/>
      <c r="V346" s="4"/>
      <c r="W346" s="4"/>
      <c r="X346" s="4"/>
      <c r="Y346" s="4"/>
    </row>
    <row r="347" spans="1:25" s="2" customFormat="1" ht="15.75" customHeight="1">
      <c r="A347" s="39"/>
      <c r="U347" s="4"/>
      <c r="V347" s="4"/>
      <c r="W347" s="4"/>
      <c r="X347" s="4"/>
      <c r="Y347" s="4"/>
    </row>
    <row r="348" spans="1:25" s="2" customFormat="1" ht="15.75" customHeight="1">
      <c r="A348" s="39"/>
      <c r="U348" s="4"/>
      <c r="V348" s="4"/>
      <c r="W348" s="4"/>
      <c r="X348" s="4"/>
      <c r="Y348" s="4"/>
    </row>
    <row r="349" spans="1:25" s="2" customFormat="1" ht="15.75" customHeight="1">
      <c r="A349" s="39"/>
      <c r="U349" s="4"/>
      <c r="V349" s="4"/>
      <c r="W349" s="4"/>
      <c r="X349" s="4"/>
      <c r="Y349" s="4"/>
    </row>
    <row r="350" spans="1:25" s="2" customFormat="1" ht="15.75" customHeight="1">
      <c r="A350" s="39"/>
      <c r="U350" s="4"/>
      <c r="V350" s="4"/>
      <c r="W350" s="4"/>
      <c r="X350" s="4"/>
      <c r="Y350" s="4"/>
    </row>
    <row r="351" spans="1:25" s="2" customFormat="1" ht="15.75" customHeight="1">
      <c r="A351" s="39"/>
      <c r="U351" s="4"/>
      <c r="V351" s="4"/>
      <c r="W351" s="4"/>
      <c r="X351" s="4"/>
      <c r="Y351" s="4"/>
    </row>
    <row r="352" spans="1:25" s="2" customFormat="1" ht="15.75" customHeight="1">
      <c r="A352" s="39"/>
      <c r="U352" s="4"/>
      <c r="V352" s="4"/>
      <c r="W352" s="4"/>
      <c r="X352" s="4"/>
      <c r="Y352" s="4"/>
    </row>
    <row r="353" spans="1:25" s="2" customFormat="1" ht="15.75" customHeight="1">
      <c r="A353" s="39"/>
      <c r="U353" s="4"/>
      <c r="V353" s="4"/>
      <c r="W353" s="4"/>
      <c r="X353" s="4"/>
      <c r="Y353" s="4"/>
    </row>
    <row r="354" spans="1:25" s="2" customFormat="1" ht="15.75" customHeight="1">
      <c r="A354" s="39"/>
      <c r="U354" s="4"/>
      <c r="V354" s="4"/>
      <c r="W354" s="4"/>
      <c r="X354" s="4"/>
      <c r="Y354" s="4"/>
    </row>
    <row r="355" spans="1:25" s="2" customFormat="1" ht="15.75" customHeight="1">
      <c r="A355" s="39"/>
      <c r="U355" s="4"/>
      <c r="V355" s="4"/>
      <c r="W355" s="4"/>
      <c r="X355" s="4"/>
      <c r="Y355" s="4"/>
    </row>
    <row r="356" spans="1:25" s="2" customFormat="1" ht="15.75" customHeight="1">
      <c r="A356" s="39"/>
      <c r="U356" s="4"/>
      <c r="V356" s="4"/>
      <c r="W356" s="4"/>
      <c r="X356" s="4"/>
      <c r="Y356" s="4"/>
    </row>
    <row r="357" spans="1:25" s="2" customFormat="1" ht="15.75" customHeight="1">
      <c r="A357" s="39"/>
      <c r="U357" s="4"/>
      <c r="V357" s="4"/>
      <c r="W357" s="4"/>
      <c r="X357" s="4"/>
      <c r="Y357" s="4"/>
    </row>
    <row r="358" spans="1:25" s="2" customFormat="1" ht="15.75" customHeight="1">
      <c r="A358" s="39"/>
      <c r="U358" s="4"/>
      <c r="V358" s="4"/>
      <c r="W358" s="4"/>
      <c r="X358" s="4"/>
      <c r="Y358" s="4"/>
    </row>
    <row r="359" spans="1:25" s="2" customFormat="1" ht="15.75" customHeight="1">
      <c r="A359" s="39"/>
      <c r="U359" s="4"/>
      <c r="V359" s="4"/>
      <c r="W359" s="4"/>
      <c r="X359" s="4"/>
      <c r="Y359" s="4"/>
    </row>
    <row r="360" spans="1:25" s="2" customFormat="1" ht="15.75" customHeight="1">
      <c r="A360" s="39"/>
      <c r="U360" s="4"/>
      <c r="V360" s="4"/>
      <c r="W360" s="4"/>
      <c r="X360" s="4"/>
      <c r="Y360" s="4"/>
    </row>
    <row r="361" spans="1:25" s="2" customFormat="1" ht="15.75" customHeight="1">
      <c r="A361" s="39"/>
      <c r="U361" s="4"/>
      <c r="V361" s="4"/>
      <c r="W361" s="4"/>
      <c r="X361" s="4"/>
      <c r="Y361" s="4"/>
    </row>
    <row r="362" spans="1:25" s="2" customFormat="1" ht="15.75" customHeight="1">
      <c r="A362" s="39"/>
      <c r="U362" s="4"/>
      <c r="V362" s="4"/>
      <c r="W362" s="4"/>
      <c r="X362" s="4"/>
      <c r="Y362" s="4"/>
    </row>
    <row r="363" spans="1:25" s="2" customFormat="1" ht="15.75" customHeight="1">
      <c r="A363" s="39"/>
      <c r="U363" s="4"/>
      <c r="V363" s="4"/>
      <c r="W363" s="4"/>
      <c r="X363" s="4"/>
      <c r="Y363" s="4"/>
    </row>
    <row r="364" spans="1:25" s="2" customFormat="1" ht="15.75" customHeight="1">
      <c r="A364" s="39"/>
      <c r="U364" s="4"/>
      <c r="V364" s="4"/>
      <c r="W364" s="4"/>
      <c r="X364" s="4"/>
      <c r="Y364" s="4"/>
    </row>
    <row r="365" spans="1:25" s="2" customFormat="1" ht="15.75" customHeight="1">
      <c r="A365" s="39"/>
      <c r="U365" s="4"/>
      <c r="V365" s="4"/>
      <c r="W365" s="4"/>
      <c r="X365" s="4"/>
      <c r="Y365" s="4"/>
    </row>
    <row r="366" spans="1:25" s="2" customFormat="1" ht="15.75" customHeight="1">
      <c r="A366" s="39"/>
      <c r="U366" s="4"/>
      <c r="V366" s="4"/>
      <c r="W366" s="4"/>
      <c r="X366" s="4"/>
      <c r="Y366" s="4"/>
    </row>
    <row r="367" spans="1:25" s="2" customFormat="1" ht="15.75" customHeight="1">
      <c r="A367" s="39"/>
      <c r="U367" s="4"/>
      <c r="V367" s="4"/>
      <c r="W367" s="4"/>
      <c r="X367" s="4"/>
      <c r="Y367" s="4"/>
    </row>
    <row r="368" spans="1:25" s="2" customFormat="1" ht="15.75" customHeight="1">
      <c r="A368" s="39"/>
      <c r="U368" s="4"/>
      <c r="V368" s="4"/>
      <c r="W368" s="4"/>
      <c r="X368" s="4"/>
      <c r="Y368" s="4"/>
    </row>
    <row r="369" spans="1:25" s="2" customFormat="1" ht="15.75" customHeight="1">
      <c r="A369" s="39"/>
      <c r="U369" s="4"/>
      <c r="V369" s="4"/>
      <c r="W369" s="4"/>
      <c r="X369" s="4"/>
      <c r="Y369" s="4"/>
    </row>
    <row r="370" spans="1:25" s="2" customFormat="1" ht="15.75" customHeight="1">
      <c r="A370" s="39"/>
      <c r="U370" s="4"/>
      <c r="V370" s="4"/>
      <c r="W370" s="4"/>
      <c r="X370" s="4"/>
      <c r="Y370" s="4"/>
    </row>
    <row r="371" spans="1:25" s="2" customFormat="1" ht="15.75" customHeight="1">
      <c r="A371" s="39"/>
      <c r="U371" s="4"/>
      <c r="V371" s="4"/>
      <c r="W371" s="4"/>
      <c r="X371" s="4"/>
      <c r="Y371" s="4"/>
    </row>
    <row r="372" spans="1:25" s="2" customFormat="1" ht="15.75" customHeight="1">
      <c r="A372" s="39"/>
      <c r="U372" s="4"/>
      <c r="V372" s="4"/>
      <c r="W372" s="4"/>
      <c r="X372" s="4"/>
      <c r="Y372" s="4"/>
    </row>
    <row r="373" spans="1:25" s="2" customFormat="1" ht="15.75" customHeight="1">
      <c r="A373" s="39"/>
      <c r="U373" s="4"/>
      <c r="V373" s="4"/>
      <c r="W373" s="4"/>
      <c r="X373" s="4"/>
      <c r="Y373" s="4"/>
    </row>
    <row r="374" spans="1:25" s="2" customFormat="1" ht="15.75" customHeight="1">
      <c r="A374" s="39"/>
      <c r="U374" s="4"/>
      <c r="V374" s="4"/>
      <c r="W374" s="4"/>
      <c r="X374" s="4"/>
      <c r="Y374" s="4"/>
    </row>
    <row r="375" spans="1:25" s="2" customFormat="1" ht="15.75" customHeight="1">
      <c r="A375" s="39"/>
      <c r="U375" s="4"/>
      <c r="V375" s="4"/>
      <c r="W375" s="4"/>
      <c r="X375" s="4"/>
      <c r="Y375" s="4"/>
    </row>
    <row r="376" spans="1:25" s="2" customFormat="1" ht="15.75" customHeight="1">
      <c r="A376" s="39"/>
      <c r="U376" s="4"/>
      <c r="V376" s="4"/>
      <c r="W376" s="4"/>
      <c r="X376" s="4"/>
      <c r="Y376" s="4"/>
    </row>
    <row r="377" spans="1:25" s="2" customFormat="1" ht="15.75" customHeight="1">
      <c r="A377" s="39"/>
      <c r="U377" s="4"/>
      <c r="V377" s="4"/>
      <c r="W377" s="4"/>
      <c r="X377" s="4"/>
      <c r="Y377" s="4"/>
    </row>
    <row r="378" spans="1:25" s="2" customFormat="1" ht="15.75" customHeight="1">
      <c r="A378" s="39"/>
      <c r="U378" s="4"/>
      <c r="V378" s="4"/>
      <c r="W378" s="4"/>
      <c r="X378" s="4"/>
      <c r="Y378" s="4"/>
    </row>
    <row r="379" spans="1:25" s="2" customFormat="1" ht="15.75" customHeight="1">
      <c r="A379" s="39"/>
      <c r="U379" s="4"/>
      <c r="V379" s="4"/>
      <c r="W379" s="4"/>
      <c r="X379" s="4"/>
      <c r="Y379" s="4"/>
    </row>
    <row r="380" spans="1:25" s="2" customFormat="1" ht="15.75" customHeight="1">
      <c r="A380" s="39"/>
      <c r="U380" s="4"/>
      <c r="V380" s="4"/>
      <c r="W380" s="4"/>
      <c r="X380" s="4"/>
      <c r="Y380" s="4"/>
    </row>
    <row r="381" spans="1:25" s="2" customFormat="1" ht="15.75" customHeight="1">
      <c r="A381" s="39"/>
      <c r="U381" s="4"/>
      <c r="V381" s="4"/>
      <c r="W381" s="4"/>
      <c r="X381" s="4"/>
      <c r="Y381" s="4"/>
    </row>
    <row r="382" spans="1:25" s="2" customFormat="1" ht="15.75" customHeight="1">
      <c r="A382" s="39"/>
      <c r="U382" s="4"/>
      <c r="V382" s="4"/>
      <c r="W382" s="4"/>
      <c r="X382" s="4"/>
      <c r="Y382" s="4"/>
    </row>
    <row r="383" spans="1:25" s="2" customFormat="1" ht="15.75" customHeight="1">
      <c r="A383" s="39"/>
      <c r="U383" s="4"/>
      <c r="V383" s="4"/>
      <c r="W383" s="4"/>
      <c r="X383" s="4"/>
      <c r="Y383" s="4"/>
    </row>
    <row r="384" spans="1:25" s="2" customFormat="1" ht="15.75" customHeight="1">
      <c r="A384" s="39"/>
      <c r="U384" s="4"/>
      <c r="V384" s="4"/>
      <c r="W384" s="4"/>
      <c r="X384" s="4"/>
      <c r="Y384" s="4"/>
    </row>
    <row r="385" spans="1:25" s="2" customFormat="1" ht="15.75" customHeight="1">
      <c r="A385" s="39"/>
      <c r="U385" s="4"/>
      <c r="V385" s="4"/>
      <c r="W385" s="4"/>
      <c r="X385" s="4"/>
      <c r="Y385" s="4"/>
    </row>
    <row r="386" spans="1:25" s="2" customFormat="1" ht="15.75" customHeight="1">
      <c r="A386" s="39"/>
      <c r="U386" s="4"/>
      <c r="V386" s="4"/>
      <c r="W386" s="4"/>
      <c r="X386" s="4"/>
      <c r="Y386" s="4"/>
    </row>
    <row r="387" spans="1:25" s="2" customFormat="1" ht="15.75" customHeight="1">
      <c r="A387" s="39"/>
      <c r="U387" s="4"/>
      <c r="V387" s="4"/>
      <c r="W387" s="4"/>
      <c r="X387" s="4"/>
      <c r="Y387" s="4"/>
    </row>
    <row r="388" spans="1:25" s="2" customFormat="1" ht="15.75" customHeight="1">
      <c r="A388" s="39"/>
      <c r="U388" s="4"/>
      <c r="V388" s="4"/>
      <c r="W388" s="4"/>
      <c r="X388" s="4"/>
      <c r="Y388" s="4"/>
    </row>
    <row r="389" spans="1:25" s="2" customFormat="1" ht="15.75" customHeight="1">
      <c r="A389" s="39"/>
      <c r="U389" s="4"/>
      <c r="V389" s="4"/>
      <c r="W389" s="4"/>
      <c r="X389" s="4"/>
      <c r="Y389" s="4"/>
    </row>
    <row r="390" spans="1:25" s="2" customFormat="1" ht="15.75" customHeight="1">
      <c r="A390" s="39"/>
      <c r="U390" s="4"/>
      <c r="V390" s="4"/>
      <c r="W390" s="4"/>
      <c r="X390" s="4"/>
      <c r="Y390" s="4"/>
    </row>
    <row r="391" spans="1:25" s="2" customFormat="1" ht="15.75" customHeight="1">
      <c r="A391" s="39"/>
      <c r="U391" s="4"/>
      <c r="V391" s="4"/>
      <c r="W391" s="4"/>
      <c r="X391" s="4"/>
      <c r="Y391" s="4"/>
    </row>
    <row r="392" spans="1:25" s="2" customFormat="1" ht="15.75" customHeight="1">
      <c r="A392" s="39"/>
      <c r="U392" s="4"/>
      <c r="V392" s="4"/>
      <c r="W392" s="4"/>
      <c r="X392" s="4"/>
      <c r="Y392" s="4"/>
    </row>
    <row r="393" spans="1:25" s="2" customFormat="1" ht="15.75" customHeight="1">
      <c r="A393" s="39"/>
      <c r="U393" s="4"/>
      <c r="V393" s="4"/>
      <c r="W393" s="4"/>
      <c r="X393" s="4"/>
      <c r="Y393" s="4"/>
    </row>
    <row r="394" spans="1:25" s="2" customFormat="1" ht="15.75" customHeight="1">
      <c r="A394" s="39"/>
      <c r="U394" s="4"/>
      <c r="V394" s="4"/>
      <c r="W394" s="4"/>
      <c r="X394" s="4"/>
      <c r="Y394" s="4"/>
    </row>
    <row r="395" spans="1:25" s="2" customFormat="1" ht="15.75" customHeight="1">
      <c r="A395" s="39"/>
      <c r="U395" s="4"/>
      <c r="V395" s="4"/>
      <c r="W395" s="4"/>
      <c r="X395" s="4"/>
      <c r="Y395" s="4"/>
    </row>
    <row r="396" spans="1:25" s="2" customFormat="1" ht="15.75" customHeight="1">
      <c r="A396" s="39"/>
      <c r="U396" s="4"/>
      <c r="V396" s="4"/>
      <c r="W396" s="4"/>
      <c r="X396" s="4"/>
      <c r="Y396" s="4"/>
    </row>
    <row r="397" spans="1:25" s="2" customFormat="1" ht="15.75" customHeight="1">
      <c r="A397" s="39"/>
      <c r="U397" s="4"/>
      <c r="V397" s="4"/>
      <c r="W397" s="4"/>
      <c r="X397" s="4"/>
      <c r="Y397" s="4"/>
    </row>
    <row r="398" spans="1:25" s="2" customFormat="1" ht="15.75" customHeight="1">
      <c r="A398" s="39"/>
      <c r="U398" s="4"/>
      <c r="V398" s="4"/>
      <c r="W398" s="4"/>
      <c r="X398" s="4"/>
      <c r="Y398" s="4"/>
    </row>
    <row r="399" spans="1:25" s="2" customFormat="1" ht="15.75" customHeight="1">
      <c r="A399" s="39"/>
      <c r="U399" s="4"/>
      <c r="V399" s="4"/>
      <c r="W399" s="4"/>
      <c r="X399" s="4"/>
      <c r="Y399" s="4"/>
    </row>
    <row r="400" spans="1:25" s="2" customFormat="1" ht="15.75" customHeight="1">
      <c r="A400" s="39"/>
      <c r="U400" s="4"/>
      <c r="V400" s="4"/>
      <c r="W400" s="4"/>
      <c r="X400" s="4"/>
      <c r="Y400" s="4"/>
    </row>
    <row r="401" spans="1:25" s="2" customFormat="1" ht="15.75" customHeight="1">
      <c r="A401" s="39"/>
      <c r="U401" s="4"/>
      <c r="V401" s="4"/>
      <c r="W401" s="4"/>
      <c r="X401" s="4"/>
      <c r="Y401" s="4"/>
    </row>
    <row r="402" spans="1:25" s="2" customFormat="1" ht="15.75" customHeight="1">
      <c r="A402" s="39"/>
      <c r="U402" s="4"/>
      <c r="V402" s="4"/>
      <c r="W402" s="4"/>
      <c r="X402" s="4"/>
      <c r="Y402" s="4"/>
    </row>
    <row r="403" spans="1:25" s="2" customFormat="1" ht="15.75" customHeight="1">
      <c r="A403" s="39"/>
      <c r="U403" s="4"/>
      <c r="V403" s="4"/>
      <c r="W403" s="4"/>
      <c r="X403" s="4"/>
      <c r="Y403" s="4"/>
    </row>
    <row r="404" spans="1:25" s="2" customFormat="1" ht="15.75" customHeight="1">
      <c r="A404" s="39"/>
      <c r="U404" s="4"/>
      <c r="V404" s="4"/>
      <c r="W404" s="4"/>
      <c r="X404" s="4"/>
      <c r="Y404" s="4"/>
    </row>
    <row r="405" spans="1:25" s="2" customFormat="1" ht="15.75" customHeight="1">
      <c r="A405" s="39"/>
      <c r="U405" s="4"/>
      <c r="V405" s="4"/>
      <c r="W405" s="4"/>
      <c r="X405" s="4"/>
      <c r="Y405" s="4"/>
    </row>
    <row r="406" spans="1:25" s="2" customFormat="1" ht="15.75" customHeight="1">
      <c r="A406" s="39"/>
      <c r="U406" s="4"/>
      <c r="V406" s="4"/>
      <c r="W406" s="4"/>
      <c r="X406" s="4"/>
      <c r="Y406" s="4"/>
    </row>
    <row r="407" spans="1:25" s="2" customFormat="1" ht="15.75" customHeight="1">
      <c r="A407" s="39"/>
      <c r="U407" s="4"/>
      <c r="V407" s="4"/>
      <c r="W407" s="4"/>
      <c r="X407" s="4"/>
      <c r="Y407" s="4"/>
    </row>
    <row r="408" spans="1:25" s="2" customFormat="1" ht="15.75" customHeight="1">
      <c r="A408" s="39"/>
      <c r="U408" s="4"/>
      <c r="V408" s="4"/>
      <c r="W408" s="4"/>
      <c r="X408" s="4"/>
      <c r="Y408" s="4"/>
    </row>
    <row r="409" spans="1:25" s="2" customFormat="1" ht="15.75" customHeight="1">
      <c r="A409" s="39"/>
      <c r="U409" s="4"/>
      <c r="V409" s="4"/>
      <c r="W409" s="4"/>
      <c r="X409" s="4"/>
      <c r="Y409" s="4"/>
    </row>
    <row r="410" spans="1:25" s="2" customFormat="1" ht="15.75" customHeight="1">
      <c r="A410" s="39"/>
      <c r="U410" s="4"/>
      <c r="V410" s="4"/>
      <c r="W410" s="4"/>
      <c r="X410" s="4"/>
      <c r="Y410" s="4"/>
    </row>
    <row r="411" spans="1:25" s="2" customFormat="1" ht="15.75" customHeight="1">
      <c r="A411" s="39"/>
      <c r="U411" s="4"/>
      <c r="V411" s="4"/>
      <c r="W411" s="4"/>
      <c r="X411" s="4"/>
      <c r="Y411" s="4"/>
    </row>
    <row r="412" spans="1:25" s="2" customFormat="1" ht="15.75" customHeight="1">
      <c r="A412" s="39"/>
      <c r="U412" s="4"/>
      <c r="V412" s="4"/>
      <c r="W412" s="4"/>
      <c r="X412" s="4"/>
      <c r="Y412" s="4"/>
    </row>
    <row r="413" spans="1:25" s="2" customFormat="1" ht="15.75" customHeight="1">
      <c r="A413" s="39"/>
      <c r="U413" s="4"/>
      <c r="V413" s="4"/>
      <c r="W413" s="4"/>
      <c r="X413" s="4"/>
      <c r="Y413" s="4"/>
    </row>
    <row r="414" spans="1:25" s="2" customFormat="1" ht="15.75" customHeight="1">
      <c r="A414" s="39"/>
      <c r="U414" s="4"/>
      <c r="V414" s="4"/>
      <c r="W414" s="4"/>
      <c r="X414" s="4"/>
      <c r="Y414" s="4"/>
    </row>
    <row r="415" spans="1:25" s="2" customFormat="1" ht="15.75" customHeight="1">
      <c r="A415" s="39"/>
      <c r="U415" s="4"/>
      <c r="V415" s="4"/>
      <c r="W415" s="4"/>
      <c r="X415" s="4"/>
      <c r="Y415" s="4"/>
    </row>
    <row r="416" spans="1:25" s="2" customFormat="1" ht="15.75" customHeight="1">
      <c r="A416" s="39"/>
      <c r="U416" s="4"/>
      <c r="V416" s="4"/>
      <c r="W416" s="4"/>
      <c r="X416" s="4"/>
      <c r="Y416" s="4"/>
    </row>
    <row r="417" spans="1:25" s="2" customFormat="1" ht="15.75" customHeight="1">
      <c r="A417" s="39"/>
      <c r="U417" s="4"/>
      <c r="V417" s="4"/>
      <c r="W417" s="4"/>
      <c r="X417" s="4"/>
      <c r="Y417" s="4"/>
    </row>
    <row r="418" spans="1:25" s="2" customFormat="1" ht="15.75" customHeight="1">
      <c r="A418" s="39"/>
      <c r="U418" s="4"/>
      <c r="V418" s="4"/>
      <c r="W418" s="4"/>
      <c r="X418" s="4"/>
      <c r="Y418" s="4"/>
    </row>
    <row r="419" spans="1:25" s="2" customFormat="1" ht="15.75" customHeight="1">
      <c r="A419" s="39"/>
      <c r="U419" s="4"/>
      <c r="V419" s="4"/>
      <c r="W419" s="4"/>
      <c r="X419" s="4"/>
      <c r="Y419" s="4"/>
    </row>
    <row r="420" spans="1:25" s="2" customFormat="1" ht="15.75" customHeight="1">
      <c r="A420" s="39"/>
      <c r="U420" s="4"/>
      <c r="V420" s="4"/>
      <c r="W420" s="4"/>
      <c r="X420" s="4"/>
      <c r="Y420" s="4"/>
    </row>
    <row r="421" spans="1:25" s="2" customFormat="1" ht="15.75" customHeight="1">
      <c r="A421" s="39"/>
      <c r="U421" s="4"/>
      <c r="V421" s="4"/>
      <c r="W421" s="4"/>
      <c r="X421" s="4"/>
      <c r="Y421" s="4"/>
    </row>
    <row r="422" spans="1:25" s="2" customFormat="1" ht="15.75" customHeight="1">
      <c r="A422" s="39"/>
      <c r="U422" s="4"/>
      <c r="V422" s="4"/>
      <c r="W422" s="4"/>
      <c r="X422" s="4"/>
      <c r="Y422" s="4"/>
    </row>
    <row r="423" spans="1:25" s="2" customFormat="1" ht="15.75" customHeight="1">
      <c r="A423" s="39"/>
      <c r="U423" s="4"/>
      <c r="V423" s="4"/>
      <c r="W423" s="4"/>
      <c r="X423" s="4"/>
      <c r="Y423" s="4"/>
    </row>
    <row r="424" spans="1:25" s="2" customFormat="1" ht="15.75" customHeight="1">
      <c r="A424" s="39"/>
      <c r="U424" s="4"/>
      <c r="V424" s="4"/>
      <c r="W424" s="4"/>
      <c r="X424" s="4"/>
      <c r="Y424" s="4"/>
    </row>
    <row r="425" spans="1:25" s="2" customFormat="1" ht="15.75" customHeight="1">
      <c r="A425" s="39"/>
      <c r="U425" s="4"/>
      <c r="V425" s="4"/>
      <c r="W425" s="4"/>
      <c r="X425" s="4"/>
      <c r="Y425" s="4"/>
    </row>
    <row r="426" spans="1:25" s="2" customFormat="1" ht="15.75" customHeight="1">
      <c r="A426" s="39"/>
      <c r="U426" s="4"/>
      <c r="V426" s="4"/>
      <c r="W426" s="4"/>
      <c r="X426" s="4"/>
      <c r="Y426" s="4"/>
    </row>
    <row r="427" spans="1:25" s="2" customFormat="1" ht="15.75" customHeight="1">
      <c r="A427" s="39"/>
      <c r="U427" s="4"/>
      <c r="V427" s="4"/>
      <c r="W427" s="4"/>
      <c r="X427" s="4"/>
      <c r="Y427" s="4"/>
    </row>
    <row r="428" spans="1:25" s="2" customFormat="1" ht="15.75" customHeight="1">
      <c r="A428" s="39"/>
      <c r="U428" s="4"/>
      <c r="V428" s="4"/>
      <c r="W428" s="4"/>
      <c r="X428" s="4"/>
      <c r="Y428" s="4"/>
    </row>
    <row r="429" spans="1:25" s="2" customFormat="1" ht="15.75" customHeight="1">
      <c r="A429" s="39"/>
      <c r="U429" s="4"/>
      <c r="V429" s="4"/>
      <c r="W429" s="4"/>
      <c r="X429" s="4"/>
      <c r="Y429" s="4"/>
    </row>
    <row r="430" spans="1:25" s="2" customFormat="1" ht="15.75" customHeight="1">
      <c r="A430" s="39"/>
      <c r="U430" s="4"/>
      <c r="V430" s="4"/>
      <c r="W430" s="4"/>
      <c r="X430" s="4"/>
      <c r="Y430" s="4"/>
    </row>
    <row r="431" spans="1:25" s="2" customFormat="1" ht="15.75" customHeight="1">
      <c r="A431" s="39"/>
      <c r="U431" s="4"/>
      <c r="V431" s="4"/>
      <c r="W431" s="4"/>
      <c r="X431" s="4"/>
      <c r="Y431" s="4"/>
    </row>
    <row r="432" spans="1:25" s="2" customFormat="1" ht="15.75" customHeight="1">
      <c r="A432" s="39"/>
      <c r="U432" s="4"/>
      <c r="V432" s="4"/>
      <c r="W432" s="4"/>
      <c r="X432" s="4"/>
      <c r="Y432" s="4"/>
    </row>
    <row r="433" spans="1:25" s="2" customFormat="1" ht="15.75" customHeight="1">
      <c r="A433" s="39"/>
      <c r="U433" s="4"/>
      <c r="V433" s="4"/>
      <c r="W433" s="4"/>
      <c r="X433" s="4"/>
      <c r="Y433" s="4"/>
    </row>
    <row r="434" spans="1:25" s="2" customFormat="1" ht="15.75" customHeight="1">
      <c r="A434" s="39"/>
      <c r="U434" s="4"/>
      <c r="V434" s="4"/>
      <c r="W434" s="4"/>
      <c r="X434" s="4"/>
      <c r="Y434" s="4"/>
    </row>
    <row r="435" spans="1:25" s="2" customFormat="1" ht="15.75" customHeight="1">
      <c r="A435" s="39"/>
      <c r="U435" s="4"/>
      <c r="V435" s="4"/>
      <c r="W435" s="4"/>
      <c r="X435" s="4"/>
      <c r="Y435" s="4"/>
    </row>
    <row r="436" spans="1:25" s="2" customFormat="1" ht="15.75" customHeight="1">
      <c r="A436" s="39"/>
      <c r="U436" s="4"/>
      <c r="V436" s="4"/>
      <c r="W436" s="4"/>
      <c r="X436" s="4"/>
      <c r="Y436" s="4"/>
    </row>
    <row r="437" spans="1:25" s="2" customFormat="1" ht="15.75" customHeight="1">
      <c r="A437" s="39"/>
      <c r="U437" s="4"/>
      <c r="V437" s="4"/>
      <c r="W437" s="4"/>
      <c r="X437" s="4"/>
      <c r="Y437" s="4"/>
    </row>
    <row r="438" spans="1:25" s="2" customFormat="1" ht="15.75" customHeight="1">
      <c r="A438" s="39"/>
      <c r="U438" s="4"/>
      <c r="V438" s="4"/>
      <c r="W438" s="4"/>
      <c r="X438" s="4"/>
      <c r="Y438" s="4"/>
    </row>
    <row r="439" spans="1:25" s="2" customFormat="1" ht="15.75" customHeight="1">
      <c r="A439" s="39"/>
      <c r="U439" s="4"/>
      <c r="V439" s="4"/>
      <c r="W439" s="4"/>
      <c r="X439" s="4"/>
      <c r="Y439" s="4"/>
    </row>
    <row r="440" spans="1:25" s="2" customFormat="1" ht="15.75" customHeight="1">
      <c r="A440" s="39"/>
      <c r="U440" s="4"/>
      <c r="V440" s="4"/>
      <c r="W440" s="4"/>
      <c r="X440" s="4"/>
      <c r="Y440" s="4"/>
    </row>
    <row r="441" spans="1:25" s="2" customFormat="1" ht="15.75" customHeight="1">
      <c r="A441" s="39"/>
      <c r="U441" s="4"/>
      <c r="V441" s="4"/>
      <c r="W441" s="4"/>
      <c r="X441" s="4"/>
      <c r="Y441" s="4"/>
    </row>
    <row r="442" spans="1:25" s="2" customFormat="1" ht="15.75" customHeight="1">
      <c r="A442" s="39"/>
      <c r="U442" s="4"/>
      <c r="V442" s="4"/>
      <c r="W442" s="4"/>
      <c r="X442" s="4"/>
      <c r="Y442" s="4"/>
    </row>
    <row r="443" spans="1:25" s="2" customFormat="1" ht="15.75" customHeight="1">
      <c r="A443" s="39"/>
      <c r="U443" s="4"/>
      <c r="V443" s="4"/>
      <c r="W443" s="4"/>
      <c r="X443" s="4"/>
      <c r="Y443" s="4"/>
    </row>
    <row r="444" spans="1:25" s="2" customFormat="1" ht="15.75" customHeight="1">
      <c r="A444" s="39"/>
      <c r="U444" s="4"/>
      <c r="V444" s="4"/>
      <c r="W444" s="4"/>
      <c r="X444" s="4"/>
      <c r="Y444" s="4"/>
    </row>
    <row r="445" spans="1:25" s="2" customFormat="1" ht="15.75" customHeight="1">
      <c r="A445" s="39"/>
      <c r="U445" s="4"/>
      <c r="V445" s="4"/>
      <c r="W445" s="4"/>
      <c r="X445" s="4"/>
      <c r="Y445" s="4"/>
    </row>
    <row r="446" spans="1:25" s="2" customFormat="1" ht="15.75" customHeight="1">
      <c r="A446" s="39"/>
      <c r="U446" s="4"/>
      <c r="V446" s="4"/>
      <c r="W446" s="4"/>
      <c r="X446" s="4"/>
      <c r="Y446" s="4"/>
    </row>
    <row r="447" spans="1:25" s="2" customFormat="1" ht="15.75" customHeight="1">
      <c r="A447" s="39"/>
      <c r="U447" s="4"/>
      <c r="V447" s="4"/>
      <c r="W447" s="4"/>
      <c r="X447" s="4"/>
      <c r="Y447" s="4"/>
    </row>
    <row r="448" spans="1:25" s="2" customFormat="1" ht="15.75" customHeight="1">
      <c r="A448" s="39"/>
      <c r="U448" s="4"/>
      <c r="V448" s="4"/>
      <c r="W448" s="4"/>
      <c r="X448" s="4"/>
      <c r="Y448" s="4"/>
    </row>
    <row r="449" spans="1:25" s="2" customFormat="1" ht="15.75" customHeight="1">
      <c r="A449" s="39"/>
      <c r="U449" s="4"/>
      <c r="V449" s="4"/>
      <c r="W449" s="4"/>
      <c r="X449" s="4"/>
      <c r="Y449" s="4"/>
    </row>
    <row r="450" spans="1:25" s="2" customFormat="1" ht="15.75" customHeight="1">
      <c r="A450" s="39"/>
      <c r="U450" s="4"/>
      <c r="V450" s="4"/>
      <c r="W450" s="4"/>
      <c r="X450" s="4"/>
      <c r="Y450" s="4"/>
    </row>
    <row r="451" spans="1:25" s="2" customFormat="1" ht="15.75" customHeight="1">
      <c r="A451" s="39"/>
      <c r="U451" s="4"/>
      <c r="V451" s="4"/>
      <c r="W451" s="4"/>
      <c r="X451" s="4"/>
      <c r="Y451" s="4"/>
    </row>
    <row r="452" spans="1:25" s="2" customFormat="1" ht="15.75" customHeight="1">
      <c r="A452" s="39"/>
      <c r="U452" s="4"/>
      <c r="V452" s="4"/>
      <c r="W452" s="4"/>
      <c r="X452" s="4"/>
      <c r="Y452" s="4"/>
    </row>
    <row r="453" spans="1:25" s="2" customFormat="1" ht="15.75" customHeight="1">
      <c r="A453" s="39"/>
      <c r="U453" s="4"/>
      <c r="V453" s="4"/>
      <c r="W453" s="4"/>
      <c r="X453" s="4"/>
      <c r="Y453" s="4"/>
    </row>
    <row r="454" spans="1:25" s="2" customFormat="1" ht="15.75" customHeight="1">
      <c r="A454" s="39"/>
      <c r="U454" s="4"/>
      <c r="V454" s="4"/>
      <c r="W454" s="4"/>
      <c r="X454" s="4"/>
      <c r="Y454" s="4"/>
    </row>
    <row r="455" spans="1:25" s="2" customFormat="1" ht="15.75" customHeight="1">
      <c r="A455" s="39"/>
      <c r="U455" s="4"/>
      <c r="V455" s="4"/>
      <c r="W455" s="4"/>
      <c r="X455" s="4"/>
      <c r="Y455" s="4"/>
    </row>
    <row r="456" spans="1:25" s="2" customFormat="1" ht="15.75" customHeight="1">
      <c r="A456" s="39"/>
      <c r="U456" s="4"/>
      <c r="V456" s="4"/>
      <c r="W456" s="4"/>
      <c r="X456" s="4"/>
      <c r="Y456" s="4"/>
    </row>
    <row r="457" spans="1:25" s="2" customFormat="1" ht="15.75" customHeight="1">
      <c r="A457" s="39"/>
      <c r="U457" s="4"/>
      <c r="V457" s="4"/>
      <c r="W457" s="4"/>
      <c r="X457" s="4"/>
      <c r="Y457" s="4"/>
    </row>
    <row r="458" spans="1:25" s="2" customFormat="1" ht="15.75" customHeight="1">
      <c r="A458" s="39"/>
      <c r="U458" s="4"/>
      <c r="V458" s="4"/>
      <c r="W458" s="4"/>
      <c r="X458" s="4"/>
      <c r="Y458" s="4"/>
    </row>
    <row r="459" spans="1:25" s="2" customFormat="1" ht="15.75" customHeight="1">
      <c r="A459" s="39"/>
      <c r="U459" s="4"/>
      <c r="V459" s="4"/>
      <c r="W459" s="4"/>
      <c r="X459" s="4"/>
      <c r="Y459" s="4"/>
    </row>
    <row r="460" spans="1:25" s="2" customFormat="1" ht="15.75" customHeight="1">
      <c r="A460" s="39"/>
      <c r="U460" s="4"/>
      <c r="V460" s="4"/>
      <c r="W460" s="4"/>
      <c r="X460" s="4"/>
      <c r="Y460" s="4"/>
    </row>
    <row r="461" spans="1:25" s="2" customFormat="1" ht="15.75" customHeight="1">
      <c r="A461" s="39"/>
      <c r="U461" s="4"/>
      <c r="V461" s="4"/>
      <c r="W461" s="4"/>
      <c r="X461" s="4"/>
      <c r="Y461" s="4"/>
    </row>
    <row r="462" spans="1:25" s="2" customFormat="1" ht="15.75" customHeight="1">
      <c r="A462" s="39"/>
      <c r="U462" s="4"/>
      <c r="V462" s="4"/>
      <c r="W462" s="4"/>
      <c r="X462" s="4"/>
      <c r="Y462" s="4"/>
    </row>
    <row r="463" spans="1:25" s="2" customFormat="1" ht="15.75" customHeight="1">
      <c r="A463" s="39"/>
      <c r="U463" s="4"/>
      <c r="V463" s="4"/>
      <c r="W463" s="4"/>
      <c r="X463" s="4"/>
      <c r="Y463" s="4"/>
    </row>
    <row r="464" spans="1:25" s="2" customFormat="1" ht="15.75" customHeight="1">
      <c r="A464" s="39"/>
      <c r="U464" s="4"/>
      <c r="V464" s="4"/>
      <c r="W464" s="4"/>
      <c r="X464" s="4"/>
      <c r="Y464" s="4"/>
    </row>
    <row r="465" spans="1:25" s="2" customFormat="1" ht="15.75" customHeight="1">
      <c r="A465" s="39"/>
      <c r="U465" s="4"/>
      <c r="V465" s="4"/>
      <c r="W465" s="4"/>
      <c r="X465" s="4"/>
      <c r="Y465" s="4"/>
    </row>
    <row r="466" spans="1:25" s="2" customFormat="1" ht="15.75" customHeight="1">
      <c r="A466" s="39"/>
      <c r="U466" s="4"/>
      <c r="V466" s="4"/>
      <c r="W466" s="4"/>
      <c r="X466" s="4"/>
      <c r="Y466" s="4"/>
    </row>
    <row r="467" spans="1:25" s="2" customFormat="1" ht="15.75" customHeight="1">
      <c r="A467" s="39"/>
      <c r="U467" s="4"/>
      <c r="V467" s="4"/>
      <c r="W467" s="4"/>
      <c r="X467" s="4"/>
      <c r="Y467" s="4"/>
    </row>
    <row r="468" spans="1:25" s="2" customFormat="1" ht="15.75" customHeight="1">
      <c r="A468" s="39"/>
      <c r="U468" s="4"/>
      <c r="V468" s="4"/>
      <c r="W468" s="4"/>
      <c r="X468" s="4"/>
      <c r="Y468" s="4"/>
    </row>
    <row r="469" spans="1:25" s="2" customFormat="1" ht="15.75" customHeight="1">
      <c r="A469" s="39"/>
      <c r="U469" s="4"/>
      <c r="V469" s="4"/>
      <c r="W469" s="4"/>
      <c r="X469" s="4"/>
      <c r="Y469" s="4"/>
    </row>
    <row r="470" spans="1:25" s="2" customFormat="1" ht="15.75" customHeight="1">
      <c r="A470" s="39"/>
      <c r="U470" s="4"/>
      <c r="V470" s="4"/>
      <c r="W470" s="4"/>
      <c r="X470" s="4"/>
      <c r="Y470" s="4"/>
    </row>
    <row r="471" spans="1:25" s="2" customFormat="1" ht="15.75" customHeight="1">
      <c r="A471" s="39"/>
      <c r="U471" s="4"/>
      <c r="V471" s="4"/>
      <c r="W471" s="4"/>
      <c r="X471" s="4"/>
      <c r="Y471" s="4"/>
    </row>
    <row r="472" spans="1:25" s="2" customFormat="1" ht="15.75" customHeight="1">
      <c r="A472" s="39"/>
      <c r="U472" s="4"/>
      <c r="V472" s="4"/>
      <c r="W472" s="4"/>
      <c r="X472" s="4"/>
      <c r="Y472" s="4"/>
    </row>
    <row r="473" spans="1:25" s="2" customFormat="1" ht="15.75" customHeight="1">
      <c r="A473" s="39"/>
      <c r="U473" s="4"/>
      <c r="V473" s="4"/>
      <c r="W473" s="4"/>
      <c r="X473" s="4"/>
      <c r="Y473" s="4"/>
    </row>
    <row r="474" spans="1:25" s="2" customFormat="1" ht="15.75" customHeight="1">
      <c r="A474" s="39"/>
      <c r="U474" s="4"/>
      <c r="V474" s="4"/>
      <c r="W474" s="4"/>
      <c r="X474" s="4"/>
      <c r="Y474" s="4"/>
    </row>
    <row r="475" spans="1:25" s="2" customFormat="1" ht="15.75" customHeight="1">
      <c r="A475" s="39"/>
      <c r="U475" s="4"/>
      <c r="V475" s="4"/>
      <c r="W475" s="4"/>
      <c r="X475" s="4"/>
      <c r="Y475" s="4"/>
    </row>
    <row r="476" spans="1:25" s="2" customFormat="1" ht="15.75" customHeight="1">
      <c r="A476" s="39"/>
      <c r="U476" s="4"/>
      <c r="V476" s="4"/>
      <c r="W476" s="4"/>
      <c r="X476" s="4"/>
      <c r="Y476" s="4"/>
    </row>
    <row r="477" spans="1:25" s="2" customFormat="1" ht="15.75" customHeight="1">
      <c r="A477" s="39"/>
      <c r="U477" s="4"/>
      <c r="V477" s="4"/>
      <c r="W477" s="4"/>
      <c r="X477" s="4"/>
      <c r="Y477" s="4"/>
    </row>
    <row r="478" spans="1:25" s="2" customFormat="1" ht="15.75" customHeight="1">
      <c r="A478" s="39"/>
      <c r="U478" s="4"/>
      <c r="V478" s="4"/>
      <c r="W478" s="4"/>
      <c r="X478" s="4"/>
      <c r="Y478" s="4"/>
    </row>
    <row r="479" spans="1:25" s="2" customFormat="1" ht="15.75" customHeight="1">
      <c r="A479" s="39"/>
      <c r="U479" s="4"/>
      <c r="V479" s="4"/>
      <c r="W479" s="4"/>
      <c r="X479" s="4"/>
      <c r="Y479" s="4"/>
    </row>
    <row r="480" spans="1:25" s="2" customFormat="1" ht="15.75" customHeight="1">
      <c r="A480" s="39"/>
      <c r="U480" s="4"/>
      <c r="V480" s="4"/>
      <c r="W480" s="4"/>
      <c r="X480" s="4"/>
      <c r="Y480" s="4"/>
    </row>
    <row r="481" spans="1:25" s="2" customFormat="1" ht="15.75" customHeight="1">
      <c r="A481" s="39"/>
      <c r="U481" s="4"/>
      <c r="V481" s="4"/>
      <c r="W481" s="4"/>
      <c r="X481" s="4"/>
      <c r="Y481" s="4"/>
    </row>
    <row r="482" spans="1:25" s="2" customFormat="1" ht="15.75" customHeight="1">
      <c r="A482" s="39"/>
      <c r="U482" s="4"/>
      <c r="V482" s="4"/>
      <c r="W482" s="4"/>
      <c r="X482" s="4"/>
      <c r="Y482" s="4"/>
    </row>
    <row r="483" spans="1:25" s="2" customFormat="1" ht="15.75" customHeight="1">
      <c r="A483" s="39"/>
      <c r="U483" s="4"/>
      <c r="V483" s="4"/>
      <c r="W483" s="4"/>
      <c r="X483" s="4"/>
      <c r="Y483" s="4"/>
    </row>
    <row r="484" spans="1:25" s="2" customFormat="1" ht="15.75" customHeight="1">
      <c r="A484" s="39"/>
      <c r="U484" s="4"/>
      <c r="V484" s="4"/>
      <c r="W484" s="4"/>
      <c r="X484" s="4"/>
      <c r="Y484" s="4"/>
    </row>
    <row r="485" spans="1:25" s="2" customFormat="1" ht="15.75" customHeight="1">
      <c r="A485" s="39"/>
      <c r="U485" s="4"/>
      <c r="V485" s="4"/>
      <c r="W485" s="4"/>
      <c r="X485" s="4"/>
      <c r="Y485" s="4"/>
    </row>
    <row r="486" spans="1:25" s="2" customFormat="1" ht="15.75" customHeight="1">
      <c r="A486" s="39"/>
      <c r="U486" s="4"/>
      <c r="V486" s="4"/>
      <c r="W486" s="4"/>
      <c r="X486" s="4"/>
      <c r="Y486" s="4"/>
    </row>
    <row r="487" spans="1:25" s="2" customFormat="1" ht="15.75" customHeight="1">
      <c r="A487" s="39"/>
      <c r="U487" s="4"/>
      <c r="V487" s="4"/>
      <c r="W487" s="4"/>
      <c r="X487" s="4"/>
      <c r="Y487" s="4"/>
    </row>
    <row r="488" spans="1:25" s="2" customFormat="1" ht="15.75" customHeight="1">
      <c r="A488" s="39"/>
      <c r="U488" s="4"/>
      <c r="V488" s="4"/>
      <c r="W488" s="4"/>
      <c r="X488" s="4"/>
      <c r="Y488" s="4"/>
    </row>
    <row r="489" spans="1:25" s="2" customFormat="1" ht="15.75" customHeight="1">
      <c r="A489" s="39"/>
      <c r="U489" s="4"/>
      <c r="V489" s="4"/>
      <c r="W489" s="4"/>
      <c r="X489" s="4"/>
      <c r="Y489" s="4"/>
    </row>
    <row r="490" spans="1:25" s="2" customFormat="1" ht="15.75" customHeight="1">
      <c r="A490" s="39"/>
      <c r="U490" s="4"/>
      <c r="V490" s="4"/>
      <c r="W490" s="4"/>
      <c r="X490" s="4"/>
      <c r="Y490" s="4"/>
    </row>
    <row r="491" spans="1:25" s="2" customFormat="1" ht="15.75" customHeight="1">
      <c r="A491" s="40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U491" s="4"/>
      <c r="V491" s="4"/>
      <c r="W491" s="4"/>
      <c r="X491" s="4"/>
      <c r="Y491" s="4"/>
    </row>
    <row r="492" spans="1:25" s="2" customFormat="1" ht="15.75" customHeight="1">
      <c r="A492" s="40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U492" s="4"/>
      <c r="V492" s="4"/>
      <c r="W492" s="4"/>
      <c r="X492" s="4"/>
      <c r="Y492" s="4"/>
    </row>
  </sheetData>
  <sheetProtection formatCells="0"/>
  <mergeCells count="13">
    <mergeCell ref="N7:N8"/>
    <mergeCell ref="A38:N38"/>
    <mergeCell ref="A2:M2"/>
    <mergeCell ref="A1:G1"/>
    <mergeCell ref="H1:N1"/>
    <mergeCell ref="L3:M3"/>
    <mergeCell ref="H3:I3"/>
    <mergeCell ref="A7:A8"/>
    <mergeCell ref="B7:E7"/>
    <mergeCell ref="F7:I7"/>
    <mergeCell ref="J7:M7"/>
    <mergeCell ref="B3:C3"/>
    <mergeCell ref="B4:C4"/>
  </mergeCells>
  <phoneticPr fontId="9" type="noConversion"/>
  <dataValidations count="1">
    <dataValidation allowBlank="1" sqref="A35:A37 A9:A33" xr:uid="{00000000-0002-0000-0100-000000000000}"/>
  </dataValidations>
  <printOptions horizontalCentered="1"/>
  <pageMargins left="0.75" right="0.5" top="0.5" bottom="0.5" header="0.5" footer="0.5"/>
  <pageSetup scale="70" firstPageNumber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P39"/>
  <sheetViews>
    <sheetView showGridLines="0" topLeftCell="A4" zoomScaleNormal="100" zoomScaleSheetLayoutView="110" workbookViewId="0">
      <selection activeCell="G23" sqref="G23"/>
    </sheetView>
  </sheetViews>
  <sheetFormatPr defaultColWidth="9.1796875" defaultRowHeight="14"/>
  <cols>
    <col min="1" max="1" width="17.54296875" style="1" customWidth="1"/>
    <col min="2" max="2" width="13.7265625" style="6" customWidth="1"/>
    <col min="3" max="3" width="12.26953125" style="6" customWidth="1"/>
    <col min="4" max="13" width="13.7265625" style="6" customWidth="1"/>
    <col min="14" max="16" width="13.7265625" style="1" customWidth="1"/>
    <col min="17" max="16384" width="9.1796875" style="1"/>
  </cols>
  <sheetData>
    <row r="1" spans="1:16" ht="23">
      <c r="A1" s="350" t="s">
        <v>10</v>
      </c>
      <c r="B1" s="350"/>
      <c r="C1" s="350"/>
      <c r="D1" s="350"/>
    </row>
    <row r="2" spans="1:16" ht="15.65" customHeight="1">
      <c r="A2" s="377"/>
      <c r="B2" s="377"/>
      <c r="C2" s="377"/>
      <c r="D2" s="377"/>
      <c r="E2" s="377"/>
      <c r="F2" s="377"/>
      <c r="G2" s="29"/>
    </row>
    <row r="3" spans="1:16" ht="27.75" customHeight="1">
      <c r="A3" s="368" t="s">
        <v>103</v>
      </c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8"/>
    </row>
    <row r="4" spans="1:16" ht="15.65" customHeight="1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</row>
    <row r="5" spans="1:16" ht="15.65" customHeight="1">
      <c r="A5" s="24" t="s">
        <v>54</v>
      </c>
      <c r="B5" s="48">
        <v>1</v>
      </c>
      <c r="C5" s="48">
        <v>2</v>
      </c>
      <c r="D5" s="48">
        <v>3</v>
      </c>
      <c r="E5" s="48" t="s">
        <v>269</v>
      </c>
      <c r="F5" s="48" t="s">
        <v>270</v>
      </c>
      <c r="G5" s="48" t="s">
        <v>271</v>
      </c>
      <c r="H5" s="48" t="s">
        <v>272</v>
      </c>
      <c r="I5" s="48"/>
      <c r="J5" s="48"/>
      <c r="K5" s="305"/>
      <c r="L5" s="305"/>
      <c r="M5" s="306"/>
      <c r="N5" s="306"/>
      <c r="O5" s="306"/>
      <c r="P5" s="49"/>
    </row>
    <row r="6" spans="1:16" s="31" customFormat="1" ht="15.65" customHeight="1">
      <c r="A6" s="87" t="s">
        <v>53</v>
      </c>
      <c r="B6" s="116">
        <v>1</v>
      </c>
      <c r="C6" s="116">
        <v>1</v>
      </c>
      <c r="D6" s="116">
        <v>1</v>
      </c>
      <c r="E6" s="116">
        <v>2</v>
      </c>
      <c r="F6" s="116">
        <v>3</v>
      </c>
      <c r="G6" s="116">
        <v>4</v>
      </c>
      <c r="H6" s="116">
        <v>5</v>
      </c>
      <c r="I6" s="116"/>
      <c r="J6" s="116"/>
      <c r="K6" s="116"/>
      <c r="L6" s="116"/>
      <c r="M6" s="117"/>
      <c r="N6" s="117"/>
      <c r="O6" s="117"/>
      <c r="P6" s="117"/>
    </row>
    <row r="7" spans="1:16" s="31" customFormat="1" ht="15.65" customHeight="1">
      <c r="A7" s="89" t="s">
        <v>66</v>
      </c>
      <c r="B7" s="75">
        <v>311</v>
      </c>
      <c r="C7" s="75">
        <v>222</v>
      </c>
      <c r="D7" s="75">
        <v>159</v>
      </c>
      <c r="E7" s="75">
        <v>159</v>
      </c>
      <c r="F7" s="75">
        <v>159</v>
      </c>
      <c r="G7" s="75">
        <v>159</v>
      </c>
      <c r="H7" s="75">
        <v>159</v>
      </c>
      <c r="I7" s="75"/>
      <c r="J7" s="75"/>
      <c r="K7" s="75"/>
      <c r="L7" s="75"/>
      <c r="M7" s="76"/>
      <c r="N7" s="76"/>
      <c r="O7" s="76"/>
      <c r="P7" s="76"/>
    </row>
    <row r="8" spans="1:16" s="31" customFormat="1" ht="15.65" customHeight="1">
      <c r="A8" s="90" t="s">
        <v>55</v>
      </c>
      <c r="B8" s="91" t="s">
        <v>267</v>
      </c>
      <c r="C8" s="91" t="s">
        <v>273</v>
      </c>
      <c r="D8" s="91" t="s">
        <v>273</v>
      </c>
      <c r="E8" s="91" t="s">
        <v>273</v>
      </c>
      <c r="F8" s="91" t="s">
        <v>273</v>
      </c>
      <c r="G8" s="91" t="s">
        <v>273</v>
      </c>
      <c r="H8" s="91" t="s">
        <v>273</v>
      </c>
      <c r="I8" s="91"/>
      <c r="J8" s="91"/>
      <c r="K8" s="91"/>
      <c r="L8" s="91"/>
      <c r="M8" s="92"/>
      <c r="N8" s="92"/>
      <c r="O8" s="92"/>
      <c r="P8" s="92"/>
    </row>
    <row r="9" spans="1:16" s="31" customFormat="1" ht="26.25" customHeight="1">
      <c r="A9" s="89" t="s">
        <v>56</v>
      </c>
      <c r="B9" s="122" t="s">
        <v>303</v>
      </c>
      <c r="C9" s="122" t="s">
        <v>274</v>
      </c>
      <c r="D9" s="122" t="s">
        <v>274</v>
      </c>
      <c r="E9" s="122" t="s">
        <v>274</v>
      </c>
      <c r="F9" s="122" t="s">
        <v>274</v>
      </c>
      <c r="G9" s="122" t="s">
        <v>274</v>
      </c>
      <c r="H9" s="122" t="s">
        <v>274</v>
      </c>
      <c r="I9" s="122"/>
      <c r="J9" s="122"/>
      <c r="K9" s="122"/>
      <c r="L9" s="122"/>
      <c r="M9" s="123"/>
      <c r="N9" s="123"/>
      <c r="O9" s="123"/>
      <c r="P9" s="123"/>
    </row>
    <row r="10" spans="1:16" s="31" customFormat="1" ht="15.65" customHeight="1">
      <c r="A10" s="90" t="s">
        <v>57</v>
      </c>
      <c r="B10" s="124">
        <v>5033620</v>
      </c>
      <c r="C10" s="124">
        <v>34925</v>
      </c>
      <c r="D10" s="124">
        <v>14734</v>
      </c>
      <c r="E10" s="124">
        <v>14734</v>
      </c>
      <c r="F10" s="124">
        <v>14734</v>
      </c>
      <c r="G10" s="124">
        <v>14734</v>
      </c>
      <c r="H10" s="124">
        <v>14734</v>
      </c>
      <c r="I10" s="124"/>
      <c r="J10" s="124"/>
      <c r="K10" s="124"/>
      <c r="L10" s="124"/>
      <c r="M10" s="125"/>
      <c r="N10" s="125"/>
      <c r="O10" s="125"/>
      <c r="P10" s="125"/>
    </row>
    <row r="11" spans="1:16" s="31" customFormat="1" ht="27" customHeight="1">
      <c r="A11" s="93" t="s">
        <v>58</v>
      </c>
      <c r="B11" s="75" t="s">
        <v>304</v>
      </c>
      <c r="C11" s="303" t="s">
        <v>311</v>
      </c>
      <c r="D11" s="303" t="s">
        <v>275</v>
      </c>
      <c r="E11" s="303" t="s">
        <v>275</v>
      </c>
      <c r="F11" s="303" t="s">
        <v>275</v>
      </c>
      <c r="G11" s="303" t="s">
        <v>275</v>
      </c>
      <c r="H11" s="303" t="s">
        <v>275</v>
      </c>
      <c r="I11" s="303"/>
      <c r="J11" s="303"/>
      <c r="K11" s="75"/>
      <c r="L11" s="75"/>
      <c r="M11" s="76"/>
      <c r="N11" s="76"/>
      <c r="O11" s="76"/>
      <c r="P11" s="76"/>
    </row>
    <row r="12" spans="1:16" s="31" customFormat="1" ht="15.65" customHeight="1">
      <c r="A12" s="90" t="s">
        <v>59</v>
      </c>
      <c r="B12" s="91">
        <v>0</v>
      </c>
      <c r="C12" s="91">
        <v>92</v>
      </c>
      <c r="D12" s="91">
        <v>793</v>
      </c>
      <c r="E12" s="91">
        <v>1007</v>
      </c>
      <c r="F12" s="91">
        <v>890</v>
      </c>
      <c r="G12" s="331">
        <v>825</v>
      </c>
      <c r="H12" s="91"/>
      <c r="I12" s="91"/>
      <c r="J12" s="91"/>
      <c r="K12" s="91"/>
      <c r="L12" s="91"/>
      <c r="M12" s="92"/>
      <c r="N12" s="92"/>
      <c r="O12" s="92"/>
      <c r="P12" s="92"/>
    </row>
    <row r="13" spans="1:16" s="31" customFormat="1" ht="15.65" customHeight="1">
      <c r="A13" s="89" t="s">
        <v>60</v>
      </c>
      <c r="B13" s="75">
        <v>92</v>
      </c>
      <c r="C13" s="75">
        <v>793</v>
      </c>
      <c r="D13" s="75">
        <v>2707</v>
      </c>
      <c r="E13" s="75">
        <v>2273</v>
      </c>
      <c r="F13" s="75">
        <v>2550</v>
      </c>
      <c r="G13" s="75"/>
      <c r="H13" s="75"/>
      <c r="I13" s="75"/>
      <c r="J13" s="75"/>
      <c r="K13" s="75"/>
      <c r="L13" s="75"/>
      <c r="M13" s="76"/>
      <c r="N13" s="76"/>
      <c r="O13" s="76"/>
      <c r="P13" s="76"/>
    </row>
    <row r="14" spans="1:16" s="31" customFormat="1" ht="15.65" customHeight="1">
      <c r="A14" s="90" t="s">
        <v>61</v>
      </c>
      <c r="B14" s="94">
        <f t="shared" ref="B14:C14" si="0">+B13-B12</f>
        <v>92</v>
      </c>
      <c r="C14" s="94">
        <f t="shared" si="0"/>
        <v>701</v>
      </c>
      <c r="D14" s="94">
        <f t="shared" ref="D14:E14" si="1">+D13-D12</f>
        <v>1914</v>
      </c>
      <c r="E14" s="94">
        <f t="shared" si="1"/>
        <v>1266</v>
      </c>
      <c r="F14" s="94">
        <f t="shared" ref="F14:H14" si="2">+F13-F12</f>
        <v>1660</v>
      </c>
      <c r="G14" s="94">
        <f t="shared" si="2"/>
        <v>-825</v>
      </c>
      <c r="H14" s="94">
        <f t="shared" si="2"/>
        <v>0</v>
      </c>
      <c r="I14" s="94"/>
      <c r="J14" s="94"/>
      <c r="K14" s="94"/>
      <c r="L14" s="94"/>
      <c r="M14" s="95"/>
      <c r="N14" s="95"/>
      <c r="O14" s="95"/>
      <c r="P14" s="95">
        <f t="shared" ref="P14" si="3">+P13-P12</f>
        <v>0</v>
      </c>
    </row>
    <row r="15" spans="1:16" s="31" customFormat="1" ht="15.65" customHeight="1">
      <c r="A15" s="89" t="s">
        <v>14</v>
      </c>
      <c r="B15" s="75">
        <v>2.5</v>
      </c>
      <c r="C15" s="75">
        <v>10.5</v>
      </c>
      <c r="D15" s="75">
        <v>23.75</v>
      </c>
      <c r="E15" s="75">
        <v>12.5</v>
      </c>
      <c r="F15" s="75">
        <v>16.25</v>
      </c>
      <c r="G15" s="75"/>
      <c r="H15" s="75"/>
      <c r="I15" s="75"/>
      <c r="J15" s="75"/>
      <c r="K15" s="75"/>
      <c r="L15" s="75"/>
      <c r="M15" s="76"/>
      <c r="N15" s="76"/>
      <c r="O15" s="76"/>
      <c r="P15" s="76"/>
    </row>
    <row r="16" spans="1:16" s="31" customFormat="1" ht="15.65" customHeight="1">
      <c r="A16" s="90" t="s">
        <v>62</v>
      </c>
      <c r="B16" s="96">
        <f>B15</f>
        <v>2.5</v>
      </c>
      <c r="C16" s="96">
        <f t="shared" ref="C16:H16" si="4">B16+C15</f>
        <v>13</v>
      </c>
      <c r="D16" s="96">
        <f t="shared" si="4"/>
        <v>36.75</v>
      </c>
      <c r="E16" s="96">
        <f t="shared" si="4"/>
        <v>49.25</v>
      </c>
      <c r="F16" s="96">
        <f>E16+F15</f>
        <v>65.5</v>
      </c>
      <c r="G16" s="96">
        <f t="shared" si="4"/>
        <v>65.5</v>
      </c>
      <c r="H16" s="96">
        <f t="shared" si="4"/>
        <v>65.5</v>
      </c>
      <c r="I16" s="96"/>
      <c r="J16" s="96"/>
      <c r="K16" s="96"/>
      <c r="L16" s="96"/>
      <c r="M16" s="97"/>
      <c r="N16" s="97"/>
      <c r="O16" s="97"/>
      <c r="P16" s="97">
        <f t="shared" ref="P16" si="5">P15+O16</f>
        <v>0</v>
      </c>
    </row>
    <row r="17" spans="1:16" s="31" customFormat="1" ht="15.65" customHeight="1">
      <c r="A17" s="89" t="s">
        <v>11</v>
      </c>
      <c r="B17" s="98">
        <f t="shared" ref="B17:C17" si="6">IF(ISERROR(B14/B15),0,B14/B15)</f>
        <v>36.799999999999997</v>
      </c>
      <c r="C17" s="98">
        <f t="shared" si="6"/>
        <v>66.761904761904759</v>
      </c>
      <c r="D17" s="98">
        <f t="shared" ref="D17:E17" si="7">IF(ISERROR(D14/D15),0,D14/D15)</f>
        <v>80.589473684210532</v>
      </c>
      <c r="E17" s="98">
        <f t="shared" si="7"/>
        <v>101.28</v>
      </c>
      <c r="F17" s="98">
        <f t="shared" ref="F17:H17" si="8">IF(ISERROR(F14/F15),0,F14/F15)</f>
        <v>102.15384615384616</v>
      </c>
      <c r="G17" s="98">
        <f t="shared" si="8"/>
        <v>0</v>
      </c>
      <c r="H17" s="98">
        <f t="shared" si="8"/>
        <v>0</v>
      </c>
      <c r="I17" s="98"/>
      <c r="J17" s="98"/>
      <c r="K17" s="98"/>
      <c r="L17" s="98"/>
      <c r="M17" s="99"/>
      <c r="N17" s="99"/>
      <c r="O17" s="99"/>
      <c r="P17" s="99">
        <f t="shared" ref="P17" si="9">IF(ISERROR(P14/P15),0,P14/P15)</f>
        <v>0</v>
      </c>
    </row>
    <row r="18" spans="1:16" s="31" customFormat="1" ht="15.65" customHeight="1">
      <c r="A18" s="90" t="s">
        <v>12</v>
      </c>
      <c r="B18" s="100" t="s">
        <v>305</v>
      </c>
      <c r="C18" s="100" t="s">
        <v>313</v>
      </c>
      <c r="D18" s="100" t="s">
        <v>333</v>
      </c>
      <c r="E18" s="100" t="s">
        <v>363</v>
      </c>
      <c r="F18" s="100" t="s">
        <v>363</v>
      </c>
      <c r="G18" s="100" t="s">
        <v>398</v>
      </c>
      <c r="H18" s="100"/>
      <c r="I18" s="100"/>
      <c r="J18" s="100"/>
      <c r="K18" s="100"/>
      <c r="L18" s="100"/>
      <c r="M18" s="101"/>
      <c r="N18" s="101"/>
      <c r="O18" s="101"/>
      <c r="P18" s="101"/>
    </row>
    <row r="19" spans="1:16" s="56" customFormat="1" ht="15.65" customHeight="1">
      <c r="A19" s="102" t="s">
        <v>13</v>
      </c>
      <c r="B19" s="103" t="s">
        <v>306</v>
      </c>
      <c r="C19" s="103" t="s">
        <v>314</v>
      </c>
      <c r="D19" s="103" t="s">
        <v>334</v>
      </c>
      <c r="E19" s="103" t="s">
        <v>364</v>
      </c>
      <c r="F19" s="103" t="s">
        <v>364</v>
      </c>
      <c r="G19" s="103" t="s">
        <v>399</v>
      </c>
      <c r="H19" s="103"/>
      <c r="I19" s="103"/>
      <c r="J19" s="304"/>
      <c r="K19" s="103"/>
      <c r="L19" s="103"/>
      <c r="M19" s="104"/>
      <c r="N19" s="104"/>
      <c r="O19" s="104"/>
      <c r="P19" s="104"/>
    </row>
    <row r="20" spans="1:16" s="57" customFormat="1" ht="15.65" customHeight="1">
      <c r="A20" s="105" t="s">
        <v>67</v>
      </c>
      <c r="B20" s="100" t="s">
        <v>307</v>
      </c>
      <c r="C20" s="100" t="s">
        <v>312</v>
      </c>
      <c r="D20" s="100" t="s">
        <v>350</v>
      </c>
      <c r="E20" s="100" t="s">
        <v>365</v>
      </c>
      <c r="F20" s="100" t="s">
        <v>391</v>
      </c>
      <c r="G20" s="100" t="s">
        <v>400</v>
      </c>
      <c r="H20" s="100"/>
      <c r="I20" s="100"/>
      <c r="J20" s="100"/>
      <c r="K20" s="100"/>
      <c r="L20" s="100"/>
      <c r="M20" s="101"/>
      <c r="N20" s="101"/>
      <c r="O20" s="101"/>
      <c r="P20" s="101"/>
    </row>
    <row r="21" spans="1:16" s="31" customFormat="1" ht="15.65" customHeight="1">
      <c r="A21" s="89" t="s">
        <v>63</v>
      </c>
      <c r="B21" s="103" t="s">
        <v>308</v>
      </c>
      <c r="C21" s="103" t="s">
        <v>316</v>
      </c>
      <c r="D21" s="103" t="s">
        <v>332</v>
      </c>
      <c r="E21" s="103" t="s">
        <v>366</v>
      </c>
      <c r="F21" s="103" t="s">
        <v>366</v>
      </c>
      <c r="G21" s="103" t="s">
        <v>401</v>
      </c>
      <c r="H21" s="103"/>
      <c r="I21" s="103"/>
      <c r="J21" s="304"/>
      <c r="K21" s="103"/>
      <c r="L21" s="103"/>
      <c r="M21" s="104"/>
      <c r="N21" s="104"/>
      <c r="O21" s="104"/>
      <c r="P21" s="104"/>
    </row>
    <row r="22" spans="1:16" s="31" customFormat="1" ht="15.65" customHeight="1">
      <c r="A22" s="90" t="s">
        <v>64</v>
      </c>
      <c r="B22" s="100" t="s">
        <v>309</v>
      </c>
      <c r="C22" s="100" t="s">
        <v>317</v>
      </c>
      <c r="D22" s="100" t="s">
        <v>323</v>
      </c>
      <c r="E22" s="100" t="s">
        <v>367</v>
      </c>
      <c r="F22" s="100" t="s">
        <v>392</v>
      </c>
      <c r="G22" s="100" t="s">
        <v>402</v>
      </c>
      <c r="H22" s="100"/>
      <c r="I22" s="100"/>
      <c r="J22" s="100"/>
      <c r="K22" s="100"/>
      <c r="L22" s="100"/>
      <c r="M22" s="101"/>
      <c r="N22" s="101"/>
      <c r="O22" s="101"/>
      <c r="P22" s="101"/>
    </row>
    <row r="23" spans="1:16" s="31" customFormat="1" ht="15.65" customHeight="1">
      <c r="A23" s="88" t="s">
        <v>65</v>
      </c>
      <c r="B23" s="106" t="s">
        <v>310</v>
      </c>
      <c r="C23" s="106" t="s">
        <v>315</v>
      </c>
      <c r="D23" s="106" t="s">
        <v>351</v>
      </c>
      <c r="E23" s="106" t="s">
        <v>368</v>
      </c>
      <c r="F23" s="106" t="s">
        <v>397</v>
      </c>
      <c r="G23" s="332"/>
      <c r="H23" s="106"/>
      <c r="I23" s="106"/>
      <c r="J23" s="106"/>
      <c r="K23" s="106"/>
      <c r="L23" s="106"/>
      <c r="M23" s="107"/>
      <c r="N23" s="107"/>
      <c r="O23" s="107"/>
      <c r="P23" s="107"/>
    </row>
    <row r="24" spans="1:16" ht="15.65" customHeight="1">
      <c r="A24" s="22" t="s">
        <v>48</v>
      </c>
      <c r="B24" s="27" t="s">
        <v>49</v>
      </c>
      <c r="C24" s="27" t="s">
        <v>49</v>
      </c>
      <c r="D24" s="27" t="s">
        <v>49</v>
      </c>
      <c r="E24" s="27" t="s">
        <v>49</v>
      </c>
      <c r="F24" s="27" t="s">
        <v>49</v>
      </c>
      <c r="G24" s="330" t="s">
        <v>49</v>
      </c>
      <c r="H24" s="27" t="s">
        <v>49</v>
      </c>
      <c r="I24" s="27" t="s">
        <v>49</v>
      </c>
      <c r="J24" s="27" t="s">
        <v>49</v>
      </c>
      <c r="K24" s="307"/>
      <c r="L24" s="307"/>
      <c r="M24" s="308"/>
      <c r="N24" s="308"/>
      <c r="O24" s="308"/>
      <c r="P24" s="28" t="s">
        <v>49</v>
      </c>
    </row>
    <row r="25" spans="1:16" s="31" customFormat="1" ht="15.65" customHeight="1">
      <c r="A25" s="30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9"/>
      <c r="N25" s="59"/>
      <c r="O25" s="59"/>
      <c r="P25" s="59"/>
    </row>
    <row r="26" spans="1:16" ht="15.65" customHeight="1">
      <c r="A26" s="22" t="s">
        <v>50</v>
      </c>
      <c r="B26" s="61" t="s">
        <v>51</v>
      </c>
      <c r="C26" s="61" t="s">
        <v>51</v>
      </c>
      <c r="D26" s="61" t="s">
        <v>51</v>
      </c>
      <c r="E26" s="61" t="s">
        <v>51</v>
      </c>
      <c r="F26" s="61" t="s">
        <v>51</v>
      </c>
      <c r="G26" s="61" t="s">
        <v>51</v>
      </c>
      <c r="H26" s="61" t="s">
        <v>51</v>
      </c>
      <c r="I26" s="61" t="s">
        <v>51</v>
      </c>
      <c r="J26" s="61" t="s">
        <v>51</v>
      </c>
      <c r="K26" s="309"/>
      <c r="L26" s="309"/>
      <c r="M26" s="310"/>
      <c r="N26" s="310"/>
      <c r="O26" s="310"/>
      <c r="P26" s="62" t="s">
        <v>51</v>
      </c>
    </row>
    <row r="27" spans="1:16" s="31" customFormat="1" ht="15" customHeight="1">
      <c r="A27" s="378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9"/>
      <c r="N27" s="59"/>
      <c r="O27" s="59"/>
      <c r="P27" s="59"/>
    </row>
    <row r="28" spans="1:16" ht="15" customHeight="1">
      <c r="A28" s="379"/>
      <c r="B28" s="61" t="s">
        <v>52</v>
      </c>
      <c r="C28" s="61" t="s">
        <v>52</v>
      </c>
      <c r="D28" s="61" t="s">
        <v>52</v>
      </c>
      <c r="E28" s="61" t="s">
        <v>52</v>
      </c>
      <c r="F28" s="61" t="s">
        <v>52</v>
      </c>
      <c r="G28" s="61" t="s">
        <v>52</v>
      </c>
      <c r="H28" s="61" t="s">
        <v>52</v>
      </c>
      <c r="I28" s="61" t="s">
        <v>52</v>
      </c>
      <c r="J28" s="61" t="s">
        <v>52</v>
      </c>
      <c r="K28" s="309"/>
      <c r="L28" s="309"/>
      <c r="M28" s="310"/>
      <c r="N28" s="310"/>
      <c r="O28" s="310"/>
      <c r="P28" s="62" t="s">
        <v>52</v>
      </c>
    </row>
    <row r="29" spans="1:16" ht="15.65" customHeight="1">
      <c r="A29" s="380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9"/>
      <c r="N29" s="59"/>
      <c r="O29" s="59"/>
      <c r="P29" s="59"/>
    </row>
    <row r="30" spans="1:16" s="31" customFormat="1" ht="15" customHeight="1">
      <c r="A30" s="50" t="s">
        <v>68</v>
      </c>
      <c r="B30" s="63"/>
      <c r="C30" s="63"/>
      <c r="D30" s="63"/>
      <c r="E30" s="63"/>
      <c r="F30" s="63"/>
      <c r="G30" s="63"/>
      <c r="H30" s="63"/>
      <c r="I30" s="63"/>
      <c r="J30" s="63"/>
      <c r="K30" s="311"/>
      <c r="L30" s="311"/>
      <c r="M30" s="311"/>
      <c r="N30" s="311"/>
      <c r="O30" s="311"/>
      <c r="P30" s="63"/>
    </row>
    <row r="31" spans="1:16" ht="15.65" customHeight="1">
      <c r="A31" s="64"/>
      <c r="B31" s="58" t="s">
        <v>268</v>
      </c>
      <c r="C31" s="58" t="s">
        <v>251</v>
      </c>
      <c r="D31" s="58" t="s">
        <v>136</v>
      </c>
      <c r="E31" s="58" t="s">
        <v>137</v>
      </c>
      <c r="F31" s="58" t="s">
        <v>162</v>
      </c>
      <c r="G31" s="58" t="s">
        <v>163</v>
      </c>
      <c r="H31" s="58" t="s">
        <v>164</v>
      </c>
      <c r="I31" s="58"/>
      <c r="J31" s="58"/>
      <c r="K31" s="58"/>
      <c r="L31" s="58"/>
      <c r="M31" s="59"/>
      <c r="N31" s="59"/>
      <c r="O31" s="59"/>
      <c r="P31" s="60"/>
    </row>
    <row r="32" spans="1:16" ht="15.65" customHeight="1"/>
    <row r="33" ht="15.65" customHeight="1"/>
    <row r="34" ht="15.65" customHeight="1"/>
    <row r="35" ht="15.65" customHeight="1"/>
    <row r="36" ht="15.65" customHeight="1"/>
    <row r="37" ht="15.65" customHeight="1"/>
    <row r="38" ht="15.65" customHeight="1"/>
    <row r="39" ht="15.65" customHeight="1"/>
  </sheetData>
  <sheetProtection formatCells="0"/>
  <mergeCells count="4">
    <mergeCell ref="A1:D1"/>
    <mergeCell ref="A2:F2"/>
    <mergeCell ref="A3:M3"/>
    <mergeCell ref="A27:A29"/>
  </mergeCells>
  <phoneticPr fontId="9" type="noConversion"/>
  <printOptions horizontalCentered="1"/>
  <pageMargins left="0.75" right="0.5" top="0.5" bottom="0.5" header="0.5" footer="0.5"/>
  <pageSetup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D3:I4"/>
  <sheetViews>
    <sheetView workbookViewId="0">
      <selection activeCell="D3" sqref="D3"/>
    </sheetView>
  </sheetViews>
  <sheetFormatPr defaultRowHeight="12.5"/>
  <sheetData>
    <row r="3" spans="4:9" ht="13">
      <c r="D3" s="132" t="s">
        <v>91</v>
      </c>
      <c r="E3" s="132" t="s">
        <v>91</v>
      </c>
      <c r="F3" s="132" t="s">
        <v>91</v>
      </c>
      <c r="G3" s="132" t="s">
        <v>91</v>
      </c>
      <c r="H3" s="132" t="s">
        <v>91</v>
      </c>
      <c r="I3" s="132" t="s">
        <v>91</v>
      </c>
    </row>
    <row r="4" spans="4:9">
      <c r="D4">
        <v>0</v>
      </c>
      <c r="E4">
        <v>1</v>
      </c>
      <c r="F4">
        <v>2</v>
      </c>
      <c r="G4">
        <v>3</v>
      </c>
      <c r="H4">
        <v>4</v>
      </c>
      <c r="I4">
        <v>5</v>
      </c>
    </row>
  </sheetData>
  <sheetProtection formatCells="0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1:Y54"/>
  <sheetViews>
    <sheetView topLeftCell="A13" zoomScaleNormal="100" workbookViewId="0">
      <selection activeCell="B38" sqref="B38:L38"/>
    </sheetView>
  </sheetViews>
  <sheetFormatPr defaultRowHeight="12.5"/>
  <cols>
    <col min="1" max="1" width="7.453125" customWidth="1"/>
    <col min="2" max="2" width="8.54296875" customWidth="1"/>
    <col min="3" max="12" width="7.453125" customWidth="1"/>
    <col min="13" max="13" width="9.1796875" style="23"/>
    <col min="17" max="22" width="15.7265625" customWidth="1"/>
  </cols>
  <sheetData>
    <row r="1" spans="1:25" ht="23">
      <c r="A1" s="350"/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</row>
    <row r="2" spans="1:25" s="15" customFormat="1" ht="23">
      <c r="A2" s="350" t="s">
        <v>105</v>
      </c>
      <c r="B2" s="350"/>
      <c r="C2" s="350"/>
      <c r="D2" s="350"/>
      <c r="E2" s="350"/>
      <c r="F2" s="350"/>
      <c r="G2" s="350"/>
      <c r="H2" s="350"/>
      <c r="I2" s="350"/>
      <c r="J2" s="350"/>
      <c r="K2" s="350"/>
      <c r="L2" s="350"/>
      <c r="M2" s="160"/>
      <c r="N2" s="161"/>
      <c r="O2" s="161"/>
      <c r="P2" s="161"/>
      <c r="Q2"/>
      <c r="R2" s="127" t="s">
        <v>128</v>
      </c>
      <c r="S2" s="127"/>
      <c r="T2" s="127"/>
      <c r="U2"/>
      <c r="W2"/>
      <c r="X2"/>
      <c r="Y2"/>
    </row>
    <row r="3" spans="1:25" ht="14.5">
      <c r="A3" s="412"/>
      <c r="B3" s="412"/>
      <c r="C3" s="412"/>
      <c r="D3" s="412"/>
      <c r="E3" s="412"/>
      <c r="F3" s="412"/>
      <c r="G3" s="412"/>
      <c r="H3" s="412"/>
      <c r="I3" s="412"/>
      <c r="J3" s="412"/>
      <c r="K3" s="412"/>
      <c r="L3" s="412"/>
      <c r="M3" s="162"/>
      <c r="N3" s="127"/>
      <c r="O3" s="127"/>
      <c r="P3" s="127"/>
      <c r="Q3" s="149" t="s">
        <v>126</v>
      </c>
      <c r="R3" s="126" t="s">
        <v>124</v>
      </c>
    </row>
    <row r="4" spans="1:25" ht="14.5">
      <c r="A4" s="413" t="s">
        <v>101</v>
      </c>
      <c r="B4" s="413"/>
      <c r="C4" s="413"/>
      <c r="D4" s="413"/>
      <c r="E4" s="413"/>
      <c r="F4" s="413"/>
      <c r="G4" s="413"/>
      <c r="H4" s="413"/>
      <c r="I4" s="413"/>
      <c r="J4" s="413"/>
      <c r="K4" s="413"/>
      <c r="L4" s="413"/>
      <c r="M4" s="162"/>
      <c r="N4" s="127"/>
      <c r="O4" s="127"/>
      <c r="P4" s="127"/>
      <c r="Q4" s="149" t="s">
        <v>127</v>
      </c>
      <c r="R4" s="126" t="s">
        <v>125</v>
      </c>
    </row>
    <row r="5" spans="1:25">
      <c r="A5" s="412"/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162"/>
      <c r="N5" s="127"/>
      <c r="O5" s="127"/>
      <c r="P5" s="127"/>
    </row>
    <row r="6" spans="1:25" ht="23">
      <c r="A6" s="400" t="s">
        <v>136</v>
      </c>
      <c r="B6" s="400"/>
      <c r="C6" s="400"/>
      <c r="D6" s="400"/>
      <c r="E6" s="400"/>
      <c r="F6" s="400"/>
      <c r="G6" s="400"/>
      <c r="H6" s="400"/>
      <c r="I6" s="400"/>
      <c r="J6" s="400"/>
      <c r="K6" s="400"/>
      <c r="L6" s="400"/>
    </row>
    <row r="7" spans="1:25" ht="17.25" customHeight="1">
      <c r="A7" s="386" t="s">
        <v>85</v>
      </c>
      <c r="B7" s="386"/>
      <c r="C7" s="386"/>
      <c r="D7" s="386"/>
      <c r="E7" s="386"/>
      <c r="F7" s="386"/>
      <c r="G7" s="386"/>
      <c r="H7" s="386"/>
      <c r="I7" s="386"/>
      <c r="J7" s="386"/>
      <c r="K7" s="386"/>
      <c r="L7" s="386"/>
      <c r="Q7" s="396" t="s">
        <v>151</v>
      </c>
      <c r="R7" s="396"/>
      <c r="S7" s="396"/>
      <c r="T7" s="396"/>
      <c r="U7" s="396"/>
      <c r="V7" s="396"/>
    </row>
    <row r="8" spans="1:25" ht="13.15" customHeight="1">
      <c r="A8" s="401" t="s">
        <v>86</v>
      </c>
      <c r="B8" s="402"/>
      <c r="C8" s="403" t="s">
        <v>87</v>
      </c>
      <c r="D8" s="402"/>
      <c r="E8" s="404"/>
      <c r="F8" s="405"/>
      <c r="G8" s="405"/>
      <c r="H8" s="405"/>
      <c r="I8" s="405"/>
      <c r="J8" s="406"/>
      <c r="K8" s="407" t="s">
        <v>107</v>
      </c>
      <c r="L8" s="408"/>
      <c r="Q8" s="397" t="s">
        <v>152</v>
      </c>
      <c r="R8" s="397"/>
      <c r="S8" s="398"/>
      <c r="T8" s="399" t="s">
        <v>252</v>
      </c>
      <c r="U8" s="397"/>
      <c r="V8" s="398"/>
    </row>
    <row r="9" spans="1:25" ht="13">
      <c r="A9" s="130" t="s">
        <v>46</v>
      </c>
      <c r="B9" s="108" t="s">
        <v>47</v>
      </c>
      <c r="C9" s="108" t="s">
        <v>88</v>
      </c>
      <c r="D9" s="109" t="s">
        <v>89</v>
      </c>
      <c r="E9" s="409" t="s">
        <v>90</v>
      </c>
      <c r="F9" s="410"/>
      <c r="G9" s="410"/>
      <c r="H9" s="410"/>
      <c r="I9" s="410"/>
      <c r="J9" s="411"/>
      <c r="K9" s="410" t="s">
        <v>91</v>
      </c>
      <c r="L9" s="410"/>
      <c r="Q9" s="144" t="s">
        <v>154</v>
      </c>
      <c r="R9" s="145" t="s">
        <v>155</v>
      </c>
      <c r="S9" s="150" t="s">
        <v>156</v>
      </c>
      <c r="T9" s="151" t="s">
        <v>154</v>
      </c>
      <c r="U9" s="146" t="s">
        <v>155</v>
      </c>
      <c r="V9" s="150" t="s">
        <v>156</v>
      </c>
    </row>
    <row r="10" spans="1:25" ht="12.75" customHeight="1">
      <c r="A10" s="129">
        <v>793</v>
      </c>
      <c r="B10" s="77">
        <v>900</v>
      </c>
      <c r="C10" s="134">
        <v>0.18</v>
      </c>
      <c r="D10" s="135" t="s">
        <v>320</v>
      </c>
      <c r="E10" s="388" t="s">
        <v>321</v>
      </c>
      <c r="F10" s="389"/>
      <c r="G10" s="389"/>
      <c r="H10" s="389"/>
      <c r="I10" s="389"/>
      <c r="J10" s="390"/>
      <c r="K10" s="391">
        <v>3</v>
      </c>
      <c r="L10" s="392"/>
      <c r="N10" s="133"/>
      <c r="Q10" s="284">
        <v>793</v>
      </c>
      <c r="R10" s="284">
        <v>577.6</v>
      </c>
      <c r="S10" s="288">
        <v>111.3</v>
      </c>
      <c r="T10" s="297"/>
      <c r="U10" s="298"/>
      <c r="V10" s="299"/>
      <c r="W10" s="147"/>
    </row>
    <row r="11" spans="1:25">
      <c r="A11" s="129">
        <f>B10</f>
        <v>900</v>
      </c>
      <c r="B11" s="77">
        <v>940</v>
      </c>
      <c r="C11" s="134">
        <v>0.18</v>
      </c>
      <c r="D11" s="135" t="s">
        <v>320</v>
      </c>
      <c r="E11" s="388" t="s">
        <v>322</v>
      </c>
      <c r="F11" s="389"/>
      <c r="G11" s="389"/>
      <c r="H11" s="389"/>
      <c r="I11" s="389"/>
      <c r="J11" s="390"/>
      <c r="K11" s="391">
        <v>3</v>
      </c>
      <c r="L11" s="392"/>
      <c r="N11" s="133"/>
      <c r="Q11" s="284">
        <v>900</v>
      </c>
      <c r="R11" s="284">
        <v>577.4</v>
      </c>
      <c r="S11" s="288">
        <v>111.5</v>
      </c>
      <c r="T11" s="297"/>
      <c r="U11" s="298"/>
      <c r="V11" s="299"/>
      <c r="W11" s="147"/>
    </row>
    <row r="12" spans="1:25" ht="12" customHeight="1">
      <c r="A12" s="129">
        <f t="shared" ref="A12:A34" si="0">B11</f>
        <v>940</v>
      </c>
      <c r="B12" s="77">
        <v>1050</v>
      </c>
      <c r="C12" s="134">
        <v>0.18</v>
      </c>
      <c r="D12" s="135">
        <v>0.12</v>
      </c>
      <c r="E12" s="388" t="s">
        <v>324</v>
      </c>
      <c r="F12" s="389"/>
      <c r="G12" s="389"/>
      <c r="H12" s="389"/>
      <c r="I12" s="389"/>
      <c r="J12" s="390"/>
      <c r="K12" s="391">
        <v>4</v>
      </c>
      <c r="L12" s="392"/>
      <c r="N12" s="133"/>
      <c r="Q12" s="284">
        <v>1000</v>
      </c>
      <c r="R12" s="284">
        <v>577.4</v>
      </c>
      <c r="S12" s="288">
        <v>111.5</v>
      </c>
      <c r="T12" s="297"/>
      <c r="U12" s="298"/>
      <c r="V12" s="299"/>
      <c r="W12" s="147"/>
    </row>
    <row r="13" spans="1:25">
      <c r="A13" s="129">
        <f t="shared" si="0"/>
        <v>1050</v>
      </c>
      <c r="B13" s="77">
        <v>1080</v>
      </c>
      <c r="C13" s="134" t="s">
        <v>325</v>
      </c>
      <c r="D13" s="135" t="s">
        <v>326</v>
      </c>
      <c r="E13" s="388" t="s">
        <v>327</v>
      </c>
      <c r="F13" s="389"/>
      <c r="G13" s="389"/>
      <c r="H13" s="389"/>
      <c r="I13" s="389"/>
      <c r="J13" s="390"/>
      <c r="K13" s="391">
        <v>3</v>
      </c>
      <c r="L13" s="392"/>
      <c r="N13" s="133"/>
      <c r="Q13" s="284">
        <v>1065</v>
      </c>
      <c r="R13" s="284">
        <v>577.4</v>
      </c>
      <c r="S13" s="288">
        <v>111.5</v>
      </c>
      <c r="T13" s="297"/>
      <c r="U13" s="298"/>
      <c r="V13" s="299"/>
      <c r="W13" s="147"/>
    </row>
    <row r="14" spans="1:25" ht="12.75" customHeight="1">
      <c r="A14" s="129">
        <f t="shared" si="0"/>
        <v>1080</v>
      </c>
      <c r="B14" s="77">
        <v>1160</v>
      </c>
      <c r="C14" s="134">
        <v>0.18</v>
      </c>
      <c r="D14" s="135">
        <v>0.12</v>
      </c>
      <c r="E14" s="388" t="s">
        <v>328</v>
      </c>
      <c r="F14" s="389"/>
      <c r="G14" s="389"/>
      <c r="H14" s="389"/>
      <c r="I14" s="389"/>
      <c r="J14" s="390"/>
      <c r="K14" s="391">
        <v>4</v>
      </c>
      <c r="L14" s="392"/>
      <c r="N14" s="133"/>
      <c r="Q14" s="284">
        <v>1095</v>
      </c>
      <c r="R14" s="284">
        <v>577.4</v>
      </c>
      <c r="S14" s="288">
        <v>111.5</v>
      </c>
      <c r="T14" s="297"/>
      <c r="U14" s="298"/>
      <c r="V14" s="299"/>
      <c r="W14" s="147"/>
    </row>
    <row r="15" spans="1:25">
      <c r="A15" s="129">
        <f t="shared" si="0"/>
        <v>1160</v>
      </c>
      <c r="B15" s="77">
        <v>1240</v>
      </c>
      <c r="C15" s="134">
        <v>0.18</v>
      </c>
      <c r="D15" s="135">
        <v>0.12</v>
      </c>
      <c r="E15" s="388" t="s">
        <v>329</v>
      </c>
      <c r="F15" s="389"/>
      <c r="G15" s="389"/>
      <c r="H15" s="389"/>
      <c r="I15" s="389"/>
      <c r="J15" s="390"/>
      <c r="K15" s="391">
        <v>4</v>
      </c>
      <c r="L15" s="392"/>
      <c r="N15" s="133"/>
      <c r="Q15" s="284">
        <v>1155</v>
      </c>
      <c r="R15" s="284">
        <v>577.4</v>
      </c>
      <c r="S15" s="288">
        <v>111.5</v>
      </c>
      <c r="T15" s="297"/>
      <c r="U15" s="298"/>
      <c r="V15" s="299"/>
      <c r="W15" s="148"/>
    </row>
    <row r="16" spans="1:25">
      <c r="A16" s="129">
        <f t="shared" si="0"/>
        <v>1240</v>
      </c>
      <c r="B16" s="77">
        <v>1360</v>
      </c>
      <c r="C16" s="134" t="s">
        <v>330</v>
      </c>
      <c r="D16" s="135" t="s">
        <v>326</v>
      </c>
      <c r="E16" s="388" t="s">
        <v>331</v>
      </c>
      <c r="F16" s="389"/>
      <c r="G16" s="389"/>
      <c r="H16" s="389"/>
      <c r="I16" s="389"/>
      <c r="J16" s="390"/>
      <c r="K16" s="391">
        <v>4</v>
      </c>
      <c r="L16" s="392"/>
      <c r="N16" s="133"/>
      <c r="Q16" s="284">
        <v>1200</v>
      </c>
      <c r="R16" s="284">
        <v>577.4</v>
      </c>
      <c r="S16" s="288">
        <v>111.5</v>
      </c>
      <c r="T16" s="297"/>
      <c r="U16" s="298"/>
      <c r="V16" s="299"/>
      <c r="W16" s="147"/>
    </row>
    <row r="17" spans="1:23">
      <c r="A17" s="129">
        <f t="shared" si="0"/>
        <v>1360</v>
      </c>
      <c r="B17" s="77">
        <v>1430</v>
      </c>
      <c r="C17" s="134" t="s">
        <v>325</v>
      </c>
      <c r="D17" s="135" t="s">
        <v>326</v>
      </c>
      <c r="E17" s="388" t="s">
        <v>335</v>
      </c>
      <c r="F17" s="389"/>
      <c r="G17" s="389"/>
      <c r="H17" s="389"/>
      <c r="I17" s="389"/>
      <c r="J17" s="390"/>
      <c r="K17" s="391">
        <v>4</v>
      </c>
      <c r="L17" s="392"/>
      <c r="N17" s="133"/>
      <c r="P17" t="s">
        <v>259</v>
      </c>
      <c r="Q17" s="284">
        <v>1232</v>
      </c>
      <c r="R17" s="284">
        <v>577.4</v>
      </c>
      <c r="S17" s="288">
        <v>111.5</v>
      </c>
      <c r="T17" s="297"/>
      <c r="U17" s="298"/>
      <c r="V17" s="299"/>
      <c r="W17" s="147"/>
    </row>
    <row r="18" spans="1:23">
      <c r="A18" s="129">
        <f t="shared" si="0"/>
        <v>1430</v>
      </c>
      <c r="B18" s="77">
        <v>1500</v>
      </c>
      <c r="C18" s="134">
        <v>0.18</v>
      </c>
      <c r="D18" s="135">
        <v>0.12</v>
      </c>
      <c r="E18" s="388" t="s">
        <v>329</v>
      </c>
      <c r="F18" s="389"/>
      <c r="G18" s="389"/>
      <c r="H18" s="389"/>
      <c r="I18" s="389"/>
      <c r="J18" s="390"/>
      <c r="K18" s="391">
        <v>4</v>
      </c>
      <c r="L18" s="392"/>
      <c r="N18" s="133"/>
      <c r="Q18" s="284">
        <v>1300</v>
      </c>
      <c r="R18" s="284">
        <v>577.4</v>
      </c>
      <c r="S18" s="288">
        <v>111.5</v>
      </c>
      <c r="T18" s="297"/>
      <c r="U18" s="298"/>
      <c r="V18" s="299"/>
      <c r="W18" s="147"/>
    </row>
    <row r="19" spans="1:23" ht="12.75" customHeight="1">
      <c r="A19" s="129">
        <f t="shared" si="0"/>
        <v>1500</v>
      </c>
      <c r="B19" s="77">
        <v>1545</v>
      </c>
      <c r="C19" s="134" t="s">
        <v>325</v>
      </c>
      <c r="D19" s="135" t="s">
        <v>326</v>
      </c>
      <c r="E19" s="388" t="s">
        <v>335</v>
      </c>
      <c r="F19" s="389"/>
      <c r="G19" s="389"/>
      <c r="H19" s="389"/>
      <c r="I19" s="389"/>
      <c r="J19" s="390"/>
      <c r="K19" s="391">
        <v>4</v>
      </c>
      <c r="L19" s="392"/>
      <c r="N19" s="133"/>
      <c r="Q19" s="284">
        <v>1400</v>
      </c>
      <c r="R19" s="284">
        <v>577.4</v>
      </c>
      <c r="S19" s="288">
        <v>111.5</v>
      </c>
      <c r="T19" s="297"/>
      <c r="U19" s="298"/>
      <c r="V19" s="299"/>
      <c r="W19" s="147"/>
    </row>
    <row r="20" spans="1:23">
      <c r="A20" s="129">
        <f t="shared" si="0"/>
        <v>1545</v>
      </c>
      <c r="B20" s="77">
        <v>1615</v>
      </c>
      <c r="C20" s="134">
        <v>0.18</v>
      </c>
      <c r="D20" s="135">
        <v>0.12</v>
      </c>
      <c r="E20" s="388" t="s">
        <v>329</v>
      </c>
      <c r="F20" s="389"/>
      <c r="G20" s="389"/>
      <c r="H20" s="389"/>
      <c r="I20" s="389"/>
      <c r="J20" s="390"/>
      <c r="K20" s="391">
        <v>4</v>
      </c>
      <c r="L20" s="392"/>
      <c r="N20" s="133"/>
      <c r="Q20" s="284">
        <v>1500</v>
      </c>
      <c r="R20" s="284">
        <v>577.4</v>
      </c>
      <c r="S20" s="288">
        <v>111.5</v>
      </c>
      <c r="T20" s="297"/>
      <c r="U20" s="298"/>
      <c r="V20" s="299"/>
      <c r="W20" s="147"/>
    </row>
    <row r="21" spans="1:23">
      <c r="A21" s="129">
        <f t="shared" si="0"/>
        <v>1615</v>
      </c>
      <c r="B21" s="77">
        <v>1655</v>
      </c>
      <c r="C21" s="134" t="s">
        <v>325</v>
      </c>
      <c r="D21" s="135" t="s">
        <v>326</v>
      </c>
      <c r="E21" s="388" t="s">
        <v>336</v>
      </c>
      <c r="F21" s="389"/>
      <c r="G21" s="389"/>
      <c r="H21" s="389"/>
      <c r="I21" s="389"/>
      <c r="J21" s="390"/>
      <c r="K21" s="391">
        <v>3</v>
      </c>
      <c r="L21" s="392"/>
      <c r="N21" s="133"/>
      <c r="Q21" s="77">
        <v>1600</v>
      </c>
      <c r="R21" s="284">
        <v>577.4</v>
      </c>
      <c r="S21" s="288">
        <v>111.5</v>
      </c>
      <c r="T21" s="297"/>
      <c r="U21" s="298"/>
      <c r="V21" s="299"/>
      <c r="W21" s="147"/>
    </row>
    <row r="22" spans="1:23">
      <c r="A22" s="129">
        <f t="shared" si="0"/>
        <v>1655</v>
      </c>
      <c r="B22" s="77">
        <v>1705</v>
      </c>
      <c r="C22" s="134" t="s">
        <v>325</v>
      </c>
      <c r="D22" s="135" t="s">
        <v>326</v>
      </c>
      <c r="E22" s="388" t="s">
        <v>335</v>
      </c>
      <c r="F22" s="389"/>
      <c r="G22" s="389"/>
      <c r="H22" s="389"/>
      <c r="I22" s="389"/>
      <c r="J22" s="390"/>
      <c r="K22" s="391">
        <v>4</v>
      </c>
      <c r="L22" s="392"/>
      <c r="N22" s="133"/>
      <c r="Q22" s="77">
        <v>1700</v>
      </c>
      <c r="R22" s="284">
        <v>577.4</v>
      </c>
      <c r="S22" s="288">
        <v>111.5</v>
      </c>
      <c r="T22" s="297"/>
      <c r="U22" s="298"/>
      <c r="V22" s="299"/>
      <c r="W22" s="147"/>
    </row>
    <row r="23" spans="1:23">
      <c r="A23" s="129">
        <f t="shared" si="0"/>
        <v>1705</v>
      </c>
      <c r="B23" s="77">
        <v>1730</v>
      </c>
      <c r="C23" s="134" t="s">
        <v>325</v>
      </c>
      <c r="D23" s="135" t="s">
        <v>326</v>
      </c>
      <c r="E23" s="388" t="s">
        <v>336</v>
      </c>
      <c r="F23" s="389"/>
      <c r="G23" s="389"/>
      <c r="H23" s="389"/>
      <c r="I23" s="389"/>
      <c r="J23" s="390"/>
      <c r="K23" s="391">
        <v>3</v>
      </c>
      <c r="L23" s="392"/>
      <c r="N23" s="133"/>
      <c r="Q23" s="77">
        <v>1800</v>
      </c>
      <c r="R23" s="284">
        <v>578.4</v>
      </c>
      <c r="S23" s="288">
        <v>110.5</v>
      </c>
      <c r="T23" s="297"/>
      <c r="U23" s="298"/>
      <c r="V23" s="299"/>
      <c r="W23" s="147"/>
    </row>
    <row r="24" spans="1:23">
      <c r="A24" s="129">
        <f t="shared" si="0"/>
        <v>1730</v>
      </c>
      <c r="B24" s="77">
        <v>1790</v>
      </c>
      <c r="C24" s="134" t="s">
        <v>325</v>
      </c>
      <c r="D24" s="135" t="s">
        <v>326</v>
      </c>
      <c r="E24" s="388" t="s">
        <v>335</v>
      </c>
      <c r="F24" s="389"/>
      <c r="G24" s="389"/>
      <c r="H24" s="389"/>
      <c r="I24" s="389"/>
      <c r="J24" s="390"/>
      <c r="K24" s="391">
        <v>4</v>
      </c>
      <c r="L24" s="392"/>
      <c r="N24" s="133"/>
      <c r="Q24" s="77">
        <v>1900</v>
      </c>
      <c r="R24" s="284">
        <v>579.9</v>
      </c>
      <c r="S24" s="288">
        <v>109</v>
      </c>
      <c r="T24" s="297"/>
      <c r="U24" s="298"/>
      <c r="V24" s="299"/>
      <c r="W24" s="147"/>
    </row>
    <row r="25" spans="1:23">
      <c r="A25" s="129">
        <f t="shared" si="0"/>
        <v>1790</v>
      </c>
      <c r="B25" s="77">
        <v>1840</v>
      </c>
      <c r="C25" s="134">
        <v>0.18</v>
      </c>
      <c r="D25" s="135">
        <v>0.12</v>
      </c>
      <c r="E25" s="388" t="s">
        <v>337</v>
      </c>
      <c r="F25" s="389"/>
      <c r="G25" s="389"/>
      <c r="H25" s="389"/>
      <c r="I25" s="389"/>
      <c r="J25" s="390"/>
      <c r="K25" s="391">
        <v>4</v>
      </c>
      <c r="L25" s="392"/>
      <c r="N25" s="133"/>
      <c r="Q25" s="77">
        <v>2000</v>
      </c>
      <c r="R25" s="284">
        <v>579.9</v>
      </c>
      <c r="S25" s="288">
        <v>109</v>
      </c>
      <c r="T25" s="297"/>
      <c r="U25" s="298"/>
      <c r="V25" s="299"/>
      <c r="W25" s="147"/>
    </row>
    <row r="26" spans="1:23">
      <c r="A26" s="129">
        <f t="shared" si="0"/>
        <v>1840</v>
      </c>
      <c r="B26" s="77">
        <v>1920</v>
      </c>
      <c r="C26" s="134" t="s">
        <v>325</v>
      </c>
      <c r="D26" s="135" t="s">
        <v>326</v>
      </c>
      <c r="E26" s="388" t="s">
        <v>335</v>
      </c>
      <c r="F26" s="389"/>
      <c r="G26" s="389"/>
      <c r="H26" s="389"/>
      <c r="I26" s="389"/>
      <c r="J26" s="390"/>
      <c r="K26" s="391">
        <v>4</v>
      </c>
      <c r="L26" s="392"/>
      <c r="N26" s="133"/>
      <c r="Q26" s="77">
        <v>2100</v>
      </c>
      <c r="R26" s="284">
        <v>579.9</v>
      </c>
      <c r="S26" s="288">
        <v>109</v>
      </c>
      <c r="T26" s="297"/>
      <c r="U26" s="298"/>
      <c r="V26" s="299"/>
      <c r="W26" s="147"/>
    </row>
    <row r="27" spans="1:23" ht="23.15" customHeight="1">
      <c r="A27" s="129">
        <f t="shared" si="0"/>
        <v>1920</v>
      </c>
      <c r="B27" s="77">
        <v>2090</v>
      </c>
      <c r="C27" s="134" t="s">
        <v>338</v>
      </c>
      <c r="D27" s="135" t="s">
        <v>320</v>
      </c>
      <c r="E27" s="388" t="s">
        <v>340</v>
      </c>
      <c r="F27" s="389"/>
      <c r="G27" s="389"/>
      <c r="H27" s="389"/>
      <c r="I27" s="389"/>
      <c r="J27" s="390"/>
      <c r="K27" s="391">
        <v>3</v>
      </c>
      <c r="L27" s="392"/>
      <c r="N27" s="133"/>
      <c r="Q27" s="77">
        <v>2200</v>
      </c>
      <c r="R27" s="77">
        <v>579.9</v>
      </c>
      <c r="S27" s="288">
        <v>109</v>
      </c>
      <c r="T27" s="297"/>
      <c r="U27" s="298"/>
      <c r="V27" s="299"/>
      <c r="W27" s="147"/>
    </row>
    <row r="28" spans="1:23" ht="12.75" customHeight="1">
      <c r="A28" s="129">
        <f t="shared" si="0"/>
        <v>2090</v>
      </c>
      <c r="B28" s="77">
        <v>2140</v>
      </c>
      <c r="C28" s="134" t="s">
        <v>339</v>
      </c>
      <c r="D28" s="135" t="s">
        <v>326</v>
      </c>
      <c r="E28" s="388" t="s">
        <v>342</v>
      </c>
      <c r="F28" s="389"/>
      <c r="G28" s="389"/>
      <c r="H28" s="389"/>
      <c r="I28" s="389"/>
      <c r="J28" s="390"/>
      <c r="K28" s="391">
        <v>4</v>
      </c>
      <c r="L28" s="392"/>
      <c r="N28" s="133"/>
      <c r="Q28" s="77">
        <v>2300</v>
      </c>
      <c r="R28" s="77">
        <v>579.9</v>
      </c>
      <c r="S28" s="288">
        <v>109</v>
      </c>
      <c r="T28" s="297"/>
      <c r="U28" s="298"/>
      <c r="V28" s="299"/>
      <c r="W28" s="147"/>
    </row>
    <row r="29" spans="1:23">
      <c r="A29" s="129">
        <f t="shared" si="0"/>
        <v>2140</v>
      </c>
      <c r="B29" s="77">
        <v>2155</v>
      </c>
      <c r="C29" s="134" t="s">
        <v>338</v>
      </c>
      <c r="D29" s="135" t="s">
        <v>320</v>
      </c>
      <c r="E29" s="388" t="s">
        <v>341</v>
      </c>
      <c r="F29" s="389"/>
      <c r="G29" s="389"/>
      <c r="H29" s="389"/>
      <c r="I29" s="389"/>
      <c r="J29" s="390"/>
      <c r="K29" s="391">
        <v>3</v>
      </c>
      <c r="L29" s="392"/>
      <c r="N29" s="133"/>
      <c r="Q29" s="77">
        <v>2400</v>
      </c>
      <c r="R29" s="77">
        <v>579.9</v>
      </c>
      <c r="S29" s="288">
        <v>109</v>
      </c>
      <c r="T29" s="297"/>
      <c r="U29" s="298"/>
      <c r="V29" s="299"/>
      <c r="W29" s="147"/>
    </row>
    <row r="30" spans="1:23">
      <c r="A30" s="129">
        <f t="shared" si="0"/>
        <v>2155</v>
      </c>
      <c r="B30" s="77">
        <v>2240</v>
      </c>
      <c r="C30" s="134" t="s">
        <v>325</v>
      </c>
      <c r="D30" s="135" t="s">
        <v>320</v>
      </c>
      <c r="E30" s="388" t="s">
        <v>343</v>
      </c>
      <c r="F30" s="389"/>
      <c r="G30" s="389"/>
      <c r="H30" s="389"/>
      <c r="I30" s="389"/>
      <c r="J30" s="390"/>
      <c r="K30" s="391">
        <v>4</v>
      </c>
      <c r="L30" s="392"/>
      <c r="N30" s="133"/>
      <c r="Q30" s="77">
        <v>2500</v>
      </c>
      <c r="R30" s="77">
        <v>579.9</v>
      </c>
      <c r="S30" s="285">
        <v>109</v>
      </c>
      <c r="T30" s="297"/>
      <c r="U30" s="298"/>
      <c r="V30" s="299"/>
      <c r="W30" s="147"/>
    </row>
    <row r="31" spans="1:23" ht="20.5" customHeight="1">
      <c r="A31" s="129">
        <f t="shared" si="0"/>
        <v>2240</v>
      </c>
      <c r="B31" s="77">
        <v>2330</v>
      </c>
      <c r="C31" s="134" t="s">
        <v>325</v>
      </c>
      <c r="D31" s="135" t="s">
        <v>320</v>
      </c>
      <c r="E31" s="388" t="s">
        <v>344</v>
      </c>
      <c r="F31" s="389"/>
      <c r="G31" s="389"/>
      <c r="H31" s="389"/>
      <c r="I31" s="389"/>
      <c r="J31" s="390"/>
      <c r="K31" s="391">
        <v>4</v>
      </c>
      <c r="L31" s="392"/>
      <c r="N31" s="133"/>
      <c r="Q31" s="77">
        <v>2600</v>
      </c>
      <c r="R31" s="77">
        <v>579.4</v>
      </c>
      <c r="S31" s="285">
        <v>109.5</v>
      </c>
      <c r="T31" s="297"/>
      <c r="U31" s="298"/>
      <c r="V31" s="299"/>
      <c r="W31" s="147"/>
    </row>
    <row r="32" spans="1:23">
      <c r="A32" s="129">
        <f t="shared" si="0"/>
        <v>2330</v>
      </c>
      <c r="B32" s="77">
        <v>2390</v>
      </c>
      <c r="C32" s="134" t="s">
        <v>345</v>
      </c>
      <c r="D32" s="135" t="s">
        <v>320</v>
      </c>
      <c r="E32" s="388" t="s">
        <v>346</v>
      </c>
      <c r="F32" s="389"/>
      <c r="G32" s="389"/>
      <c r="H32" s="389"/>
      <c r="I32" s="389"/>
      <c r="J32" s="390"/>
      <c r="K32" s="391">
        <v>4</v>
      </c>
      <c r="L32" s="392"/>
      <c r="N32" s="133"/>
      <c r="Q32" s="77">
        <v>2700</v>
      </c>
      <c r="R32" s="77">
        <v>578.9</v>
      </c>
      <c r="S32" s="285">
        <v>110</v>
      </c>
      <c r="T32" s="297"/>
      <c r="U32" s="298"/>
      <c r="V32" s="299"/>
      <c r="W32" s="147"/>
    </row>
    <row r="33" spans="1:23" ht="20.5" customHeight="1">
      <c r="A33" s="129">
        <f t="shared" si="0"/>
        <v>2390</v>
      </c>
      <c r="B33" s="77">
        <v>2560</v>
      </c>
      <c r="C33" s="134" t="s">
        <v>345</v>
      </c>
      <c r="D33" s="135" t="s">
        <v>320</v>
      </c>
      <c r="E33" s="388" t="s">
        <v>347</v>
      </c>
      <c r="F33" s="389"/>
      <c r="G33" s="389"/>
      <c r="H33" s="389"/>
      <c r="I33" s="389"/>
      <c r="J33" s="390"/>
      <c r="K33" s="391">
        <v>4</v>
      </c>
      <c r="L33" s="392"/>
      <c r="N33" s="133"/>
      <c r="Q33" s="77">
        <v>2714</v>
      </c>
      <c r="R33" s="77">
        <v>578.9</v>
      </c>
      <c r="S33" s="285">
        <v>110</v>
      </c>
      <c r="T33" s="297"/>
      <c r="U33" s="298"/>
      <c r="V33" s="299"/>
      <c r="W33" s="147"/>
    </row>
    <row r="34" spans="1:23" ht="22" customHeight="1">
      <c r="A34" s="129">
        <f t="shared" si="0"/>
        <v>2560</v>
      </c>
      <c r="B34" s="77">
        <v>2707</v>
      </c>
      <c r="C34" s="134" t="s">
        <v>345</v>
      </c>
      <c r="D34" s="135" t="s">
        <v>320</v>
      </c>
      <c r="E34" s="388" t="s">
        <v>348</v>
      </c>
      <c r="F34" s="389"/>
      <c r="G34" s="389"/>
      <c r="H34" s="389"/>
      <c r="I34" s="389"/>
      <c r="J34" s="390"/>
      <c r="K34" s="391">
        <v>4</v>
      </c>
      <c r="L34" s="392"/>
      <c r="N34" s="133"/>
      <c r="Q34" s="77"/>
      <c r="R34" s="77"/>
      <c r="S34" s="285"/>
      <c r="T34" s="297"/>
      <c r="U34" s="298"/>
      <c r="V34" s="299"/>
      <c r="W34" s="147"/>
    </row>
    <row r="35" spans="1:23" ht="13">
      <c r="A35" s="386" t="s">
        <v>97</v>
      </c>
      <c r="B35" s="387"/>
      <c r="C35" s="387"/>
      <c r="D35" s="387"/>
      <c r="E35" s="387"/>
      <c r="F35" s="387"/>
      <c r="G35" s="387"/>
      <c r="H35" s="387"/>
      <c r="I35" s="387"/>
      <c r="J35" s="387"/>
      <c r="K35" s="387"/>
      <c r="L35" s="387"/>
    </row>
    <row r="36" spans="1:23">
      <c r="A36" s="110">
        <v>5</v>
      </c>
      <c r="B36" s="383"/>
      <c r="C36" s="384"/>
      <c r="D36" s="384"/>
      <c r="E36" s="384"/>
      <c r="F36" s="384"/>
      <c r="G36" s="384"/>
      <c r="H36" s="384"/>
      <c r="I36" s="384"/>
      <c r="J36" s="384"/>
      <c r="K36" s="384"/>
      <c r="L36" s="385"/>
    </row>
    <row r="37" spans="1:23">
      <c r="A37" s="110">
        <v>4</v>
      </c>
      <c r="B37" s="383" t="s">
        <v>372</v>
      </c>
      <c r="C37" s="384"/>
      <c r="D37" s="384"/>
      <c r="E37" s="384"/>
      <c r="F37" s="384"/>
      <c r="G37" s="384"/>
      <c r="H37" s="384"/>
      <c r="I37" s="384"/>
      <c r="J37" s="384"/>
      <c r="K37" s="384"/>
      <c r="L37" s="385"/>
    </row>
    <row r="38" spans="1:23" ht="12.75" customHeight="1">
      <c r="A38" s="110">
        <v>3</v>
      </c>
      <c r="B38" s="383" t="s">
        <v>371</v>
      </c>
      <c r="C38" s="384"/>
      <c r="D38" s="384"/>
      <c r="E38" s="384"/>
      <c r="F38" s="384"/>
      <c r="G38" s="384"/>
      <c r="H38" s="384"/>
      <c r="I38" s="384"/>
      <c r="J38" s="384"/>
      <c r="K38" s="384"/>
      <c r="L38" s="385"/>
    </row>
    <row r="39" spans="1:23" ht="12.75" customHeight="1">
      <c r="A39" s="110">
        <v>2</v>
      </c>
      <c r="B39" s="383"/>
      <c r="C39" s="384"/>
      <c r="D39" s="384"/>
      <c r="E39" s="384"/>
      <c r="F39" s="384"/>
      <c r="G39" s="384"/>
      <c r="H39" s="384"/>
      <c r="I39" s="384"/>
      <c r="J39" s="384"/>
      <c r="K39" s="384"/>
      <c r="L39" s="385"/>
    </row>
    <row r="40" spans="1:23" ht="12.75" customHeight="1">
      <c r="A40" s="110">
        <v>1</v>
      </c>
      <c r="B40" s="383"/>
      <c r="C40" s="384"/>
      <c r="D40" s="384"/>
      <c r="E40" s="384"/>
      <c r="F40" s="384"/>
      <c r="G40" s="384"/>
      <c r="H40" s="384"/>
      <c r="I40" s="384"/>
      <c r="J40" s="384"/>
      <c r="K40" s="384"/>
      <c r="L40" s="385"/>
    </row>
    <row r="41" spans="1:23" ht="12.75" customHeight="1">
      <c r="A41" s="110">
        <v>0</v>
      </c>
      <c r="B41" s="383"/>
      <c r="C41" s="384"/>
      <c r="D41" s="384"/>
      <c r="E41" s="384"/>
      <c r="F41" s="384"/>
      <c r="G41" s="384"/>
      <c r="H41" s="384"/>
      <c r="I41" s="384"/>
      <c r="J41" s="384"/>
      <c r="K41" s="384"/>
      <c r="L41" s="385"/>
    </row>
    <row r="42" spans="1:23" ht="12.75" customHeight="1">
      <c r="A42" s="381"/>
      <c r="B42" s="382"/>
      <c r="C42" s="382"/>
      <c r="D42" s="382"/>
      <c r="E42" s="382"/>
      <c r="F42" s="382"/>
      <c r="G42" s="382"/>
      <c r="H42" s="382"/>
      <c r="I42" s="382"/>
      <c r="J42" s="382"/>
      <c r="K42" s="382"/>
      <c r="L42" s="382"/>
    </row>
    <row r="43" spans="1:23" ht="12.75" customHeight="1">
      <c r="A43" s="387" t="s">
        <v>161</v>
      </c>
      <c r="B43" s="387"/>
      <c r="C43" s="387"/>
      <c r="D43" s="387"/>
      <c r="E43" s="387"/>
      <c r="F43" s="387"/>
      <c r="G43" s="387"/>
      <c r="H43" s="387"/>
      <c r="I43" s="387"/>
      <c r="J43" s="387"/>
      <c r="K43" s="387"/>
      <c r="L43" s="387"/>
    </row>
    <row r="44" spans="1:23" ht="12.75" customHeight="1">
      <c r="A44" s="394"/>
      <c r="B44" s="394"/>
      <c r="C44" s="394"/>
      <c r="D44" s="394"/>
      <c r="E44" s="394"/>
      <c r="F44" s="394"/>
      <c r="G44" s="394"/>
      <c r="H44" s="394"/>
      <c r="I44" s="394"/>
      <c r="J44" s="394"/>
      <c r="K44" s="394"/>
      <c r="L44" s="394"/>
    </row>
    <row r="45" spans="1:23">
      <c r="A45" s="395"/>
      <c r="B45" s="395"/>
      <c r="C45" s="395"/>
      <c r="D45" s="395"/>
      <c r="E45" s="395"/>
      <c r="F45" s="395"/>
      <c r="G45" s="395"/>
      <c r="H45" s="395"/>
      <c r="I45" s="395"/>
      <c r="J45" s="395"/>
      <c r="K45" s="395"/>
      <c r="L45" s="395"/>
    </row>
    <row r="46" spans="1:23">
      <c r="A46" s="384"/>
      <c r="B46" s="384"/>
      <c r="C46" s="384"/>
      <c r="D46" s="384"/>
      <c r="E46" s="384"/>
      <c r="F46" s="384"/>
      <c r="G46" s="384"/>
      <c r="H46" s="384"/>
      <c r="I46" s="384"/>
      <c r="J46" s="384"/>
      <c r="K46" s="384"/>
      <c r="L46" s="384"/>
    </row>
    <row r="47" spans="1:23" ht="12.75" customHeight="1">
      <c r="A47" s="384"/>
      <c r="B47" s="384"/>
      <c r="C47" s="384"/>
      <c r="D47" s="384"/>
      <c r="E47" s="384"/>
      <c r="F47" s="384"/>
      <c r="G47" s="384"/>
      <c r="H47" s="384"/>
      <c r="I47" s="384"/>
      <c r="J47" s="384"/>
      <c r="K47" s="384"/>
      <c r="L47" s="384"/>
    </row>
    <row r="48" spans="1:23" ht="12.75" customHeight="1">
      <c r="A48" s="384"/>
      <c r="B48" s="384"/>
      <c r="C48" s="384"/>
      <c r="D48" s="384"/>
      <c r="E48" s="384"/>
      <c r="F48" s="384"/>
      <c r="G48" s="384"/>
      <c r="H48" s="384"/>
      <c r="I48" s="384"/>
      <c r="J48" s="384"/>
      <c r="K48" s="384"/>
      <c r="L48" s="384"/>
    </row>
    <row r="49" spans="1:12" ht="12.75" customHeight="1">
      <c r="A49" s="384"/>
      <c r="B49" s="384"/>
      <c r="C49" s="384"/>
      <c r="D49" s="384"/>
      <c r="E49" s="384"/>
      <c r="F49" s="384"/>
      <c r="G49" s="384"/>
      <c r="H49" s="384"/>
      <c r="I49" s="384"/>
      <c r="J49" s="384"/>
      <c r="K49" s="384"/>
      <c r="L49" s="384"/>
    </row>
    <row r="50" spans="1:12" ht="12.75" customHeight="1">
      <c r="A50" s="393"/>
      <c r="B50" s="393"/>
      <c r="C50" s="393"/>
      <c r="D50" s="393"/>
      <c r="E50" s="393"/>
      <c r="F50" s="393"/>
      <c r="G50" s="393"/>
      <c r="H50" s="393"/>
      <c r="I50" s="393"/>
      <c r="J50" s="393"/>
      <c r="K50" s="393"/>
      <c r="L50" s="393"/>
    </row>
    <row r="51" spans="1:12" ht="12.75" customHeight="1"/>
    <row r="52" spans="1:12" ht="12.75" customHeight="1"/>
    <row r="53" spans="1:12" ht="12.75" customHeight="1"/>
    <row r="54" spans="1:12" ht="12.75" customHeight="1"/>
  </sheetData>
  <sheetProtection formatCells="0"/>
  <mergeCells count="82">
    <mergeCell ref="A1:L1"/>
    <mergeCell ref="E26:J26"/>
    <mergeCell ref="K26:L26"/>
    <mergeCell ref="E29:J29"/>
    <mergeCell ref="K29:L29"/>
    <mergeCell ref="E28:J28"/>
    <mergeCell ref="K28:L28"/>
    <mergeCell ref="E27:J27"/>
    <mergeCell ref="K27:L27"/>
    <mergeCell ref="E25:J25"/>
    <mergeCell ref="K25:L25"/>
    <mergeCell ref="E24:J24"/>
    <mergeCell ref="E11:J11"/>
    <mergeCell ref="E12:J12"/>
    <mergeCell ref="A3:L3"/>
    <mergeCell ref="A4:L4"/>
    <mergeCell ref="E30:J30"/>
    <mergeCell ref="K30:L30"/>
    <mergeCell ref="K32:L32"/>
    <mergeCell ref="E33:J33"/>
    <mergeCell ref="K33:L33"/>
    <mergeCell ref="E34:J34"/>
    <mergeCell ref="K34:L34"/>
    <mergeCell ref="E31:J31"/>
    <mergeCell ref="E32:J32"/>
    <mergeCell ref="K31:L31"/>
    <mergeCell ref="A2:L2"/>
    <mergeCell ref="A6:L6"/>
    <mergeCell ref="K10:L10"/>
    <mergeCell ref="K11:L11"/>
    <mergeCell ref="K12:L12"/>
    <mergeCell ref="A7:L7"/>
    <mergeCell ref="A8:B8"/>
    <mergeCell ref="C8:D8"/>
    <mergeCell ref="E8:J8"/>
    <mergeCell ref="K8:L8"/>
    <mergeCell ref="E9:J9"/>
    <mergeCell ref="E10:J10"/>
    <mergeCell ref="K9:L9"/>
    <mergeCell ref="A5:L5"/>
    <mergeCell ref="K18:L18"/>
    <mergeCell ref="E16:J16"/>
    <mergeCell ref="E17:J17"/>
    <mergeCell ref="Q7:V7"/>
    <mergeCell ref="Q8:S8"/>
    <mergeCell ref="T8:V8"/>
    <mergeCell ref="E18:J18"/>
    <mergeCell ref="K15:L15"/>
    <mergeCell ref="K17:L17"/>
    <mergeCell ref="E14:J14"/>
    <mergeCell ref="K13:L13"/>
    <mergeCell ref="K14:L14"/>
    <mergeCell ref="E15:J15"/>
    <mergeCell ref="E13:J13"/>
    <mergeCell ref="K16:L16"/>
    <mergeCell ref="A48:L48"/>
    <mergeCell ref="A49:L49"/>
    <mergeCell ref="A50:L50"/>
    <mergeCell ref="A43:L43"/>
    <mergeCell ref="A44:L44"/>
    <mergeCell ref="A45:L45"/>
    <mergeCell ref="A46:L46"/>
    <mergeCell ref="A47:L47"/>
    <mergeCell ref="K19:L19"/>
    <mergeCell ref="E20:J20"/>
    <mergeCell ref="K20:L20"/>
    <mergeCell ref="E19:J19"/>
    <mergeCell ref="E21:J21"/>
    <mergeCell ref="E22:J22"/>
    <mergeCell ref="K24:L24"/>
    <mergeCell ref="E23:J23"/>
    <mergeCell ref="K23:L23"/>
    <mergeCell ref="K21:L21"/>
    <mergeCell ref="K22:L22"/>
    <mergeCell ref="A42:L42"/>
    <mergeCell ref="B41:L41"/>
    <mergeCell ref="A35:L35"/>
    <mergeCell ref="B36:L36"/>
    <mergeCell ref="B37:L37"/>
    <mergeCell ref="B38:L38"/>
    <mergeCell ref="B39:L39"/>
    <mergeCell ref="B40:L40"/>
  </mergeCells>
  <conditionalFormatting sqref="A36:A41">
    <cfRule type="containsText" dxfId="1056" priority="913" stopIfTrue="1" operator="containsText" text="0">
      <formula>NOT(ISERROR(SEARCH("0",A36)))</formula>
    </cfRule>
    <cfRule type="containsText" dxfId="1055" priority="914" stopIfTrue="1" operator="containsText" text="1">
      <formula>NOT(ISERROR(SEARCH("1",A36)))</formula>
    </cfRule>
    <cfRule type="containsText" dxfId="1054" priority="915" stopIfTrue="1" operator="containsText" text="2">
      <formula>NOT(ISERROR(SEARCH("2",A36)))</formula>
    </cfRule>
    <cfRule type="containsText" dxfId="1053" priority="916" stopIfTrue="1" operator="containsText" text="3">
      <formula>NOT(ISERROR(SEARCH("3",A36)))</formula>
    </cfRule>
    <cfRule type="containsText" dxfId="1052" priority="917" stopIfTrue="1" operator="containsText" text="4">
      <formula>NOT(ISERROR(SEARCH("4",A36)))</formula>
    </cfRule>
    <cfRule type="containsText" dxfId="1051" priority="918" stopIfTrue="1" operator="containsText" text="5">
      <formula>NOT(ISERROR(SEARCH("5",A36)))</formula>
    </cfRule>
  </conditionalFormatting>
  <conditionalFormatting sqref="K11:L11">
    <cfRule type="containsText" dxfId="1050" priority="277" stopIfTrue="1" operator="containsText" text="0">
      <formula>NOT(ISERROR(SEARCH("0",K11)))</formula>
    </cfRule>
    <cfRule type="containsText" dxfId="1049" priority="278" stopIfTrue="1" operator="containsText" text="1">
      <formula>NOT(ISERROR(SEARCH("1",K11)))</formula>
    </cfRule>
    <cfRule type="containsText" dxfId="1048" priority="279" stopIfTrue="1" operator="containsText" text="2">
      <formula>NOT(ISERROR(SEARCH("2",K11)))</formula>
    </cfRule>
    <cfRule type="containsText" dxfId="1047" priority="280" stopIfTrue="1" operator="containsText" text="3">
      <formula>NOT(ISERROR(SEARCH("3",K11)))</formula>
    </cfRule>
    <cfRule type="containsText" dxfId="1046" priority="281" stopIfTrue="1" operator="containsText" text="4">
      <formula>NOT(ISERROR(SEARCH("4",K11)))</formula>
    </cfRule>
    <cfRule type="containsText" dxfId="1045" priority="282" stopIfTrue="1" operator="containsText" text="5">
      <formula>NOT(ISERROR(SEARCH("5",K11)))</formula>
    </cfRule>
  </conditionalFormatting>
  <conditionalFormatting sqref="K21:L21">
    <cfRule type="containsText" dxfId="1044" priority="211" stopIfTrue="1" operator="containsText" text="0">
      <formula>NOT(ISERROR(SEARCH("0",K21)))</formula>
    </cfRule>
    <cfRule type="containsText" dxfId="1043" priority="212" stopIfTrue="1" operator="containsText" text="1">
      <formula>NOT(ISERROR(SEARCH("1",K21)))</formula>
    </cfRule>
    <cfRule type="containsText" dxfId="1042" priority="213" stopIfTrue="1" operator="containsText" text="2">
      <formula>NOT(ISERROR(SEARCH("2",K21)))</formula>
    </cfRule>
    <cfRule type="containsText" dxfId="1041" priority="214" stopIfTrue="1" operator="containsText" text="3">
      <formula>NOT(ISERROR(SEARCH("3",K21)))</formula>
    </cfRule>
    <cfRule type="containsText" dxfId="1040" priority="215" stopIfTrue="1" operator="containsText" text="4">
      <formula>NOT(ISERROR(SEARCH("4",K21)))</formula>
    </cfRule>
    <cfRule type="containsText" dxfId="1039" priority="216" stopIfTrue="1" operator="containsText" text="5">
      <formula>NOT(ISERROR(SEARCH("5",K21)))</formula>
    </cfRule>
  </conditionalFormatting>
  <conditionalFormatting sqref="K13:L13">
    <cfRule type="containsText" dxfId="1038" priority="193" stopIfTrue="1" operator="containsText" text="0">
      <formula>NOT(ISERROR(SEARCH("0",K13)))</formula>
    </cfRule>
    <cfRule type="containsText" dxfId="1037" priority="194" stopIfTrue="1" operator="containsText" text="1">
      <formula>NOT(ISERROR(SEARCH("1",K13)))</formula>
    </cfRule>
    <cfRule type="containsText" dxfId="1036" priority="195" stopIfTrue="1" operator="containsText" text="2">
      <formula>NOT(ISERROR(SEARCH("2",K13)))</formula>
    </cfRule>
    <cfRule type="containsText" dxfId="1035" priority="196" stopIfTrue="1" operator="containsText" text="3">
      <formula>NOT(ISERROR(SEARCH("3",K13)))</formula>
    </cfRule>
    <cfRule type="containsText" dxfId="1034" priority="197" stopIfTrue="1" operator="containsText" text="4">
      <formula>NOT(ISERROR(SEARCH("4",K13)))</formula>
    </cfRule>
    <cfRule type="containsText" dxfId="1033" priority="198" stopIfTrue="1" operator="containsText" text="5">
      <formula>NOT(ISERROR(SEARCH("5",K13)))</formula>
    </cfRule>
  </conditionalFormatting>
  <conditionalFormatting sqref="K27:L27">
    <cfRule type="containsText" dxfId="1032" priority="175" stopIfTrue="1" operator="containsText" text="0">
      <formula>NOT(ISERROR(SEARCH("0",K27)))</formula>
    </cfRule>
    <cfRule type="containsText" dxfId="1031" priority="176" stopIfTrue="1" operator="containsText" text="1">
      <formula>NOT(ISERROR(SEARCH("1",K27)))</formula>
    </cfRule>
    <cfRule type="containsText" dxfId="1030" priority="177" stopIfTrue="1" operator="containsText" text="2">
      <formula>NOT(ISERROR(SEARCH("2",K27)))</formula>
    </cfRule>
    <cfRule type="containsText" dxfId="1029" priority="178" stopIfTrue="1" operator="containsText" text="3">
      <formula>NOT(ISERROR(SEARCH("3",K27)))</formula>
    </cfRule>
    <cfRule type="containsText" dxfId="1028" priority="179" stopIfTrue="1" operator="containsText" text="4">
      <formula>NOT(ISERROR(SEARCH("4",K27)))</formula>
    </cfRule>
    <cfRule type="containsText" dxfId="1027" priority="180" stopIfTrue="1" operator="containsText" text="5">
      <formula>NOT(ISERROR(SEARCH("5",K27)))</formula>
    </cfRule>
  </conditionalFormatting>
  <conditionalFormatting sqref="K28:L28">
    <cfRule type="containsText" dxfId="1026" priority="163" stopIfTrue="1" operator="containsText" text="0">
      <formula>NOT(ISERROR(SEARCH("0",K28)))</formula>
    </cfRule>
    <cfRule type="containsText" dxfId="1025" priority="164" stopIfTrue="1" operator="containsText" text="1">
      <formula>NOT(ISERROR(SEARCH("1",K28)))</formula>
    </cfRule>
    <cfRule type="containsText" dxfId="1024" priority="165" stopIfTrue="1" operator="containsText" text="2">
      <formula>NOT(ISERROR(SEARCH("2",K28)))</formula>
    </cfRule>
    <cfRule type="containsText" dxfId="1023" priority="166" stopIfTrue="1" operator="containsText" text="3">
      <formula>NOT(ISERROR(SEARCH("3",K28)))</formula>
    </cfRule>
    <cfRule type="containsText" dxfId="1022" priority="167" stopIfTrue="1" operator="containsText" text="4">
      <formula>NOT(ISERROR(SEARCH("4",K28)))</formula>
    </cfRule>
    <cfRule type="containsText" dxfId="1021" priority="168" stopIfTrue="1" operator="containsText" text="5">
      <formula>NOT(ISERROR(SEARCH("5",K28)))</formula>
    </cfRule>
  </conditionalFormatting>
  <conditionalFormatting sqref="K29:L29">
    <cfRule type="containsText" dxfId="1020" priority="157" stopIfTrue="1" operator="containsText" text="0">
      <formula>NOT(ISERROR(SEARCH("0",K29)))</formula>
    </cfRule>
    <cfRule type="containsText" dxfId="1019" priority="158" stopIfTrue="1" operator="containsText" text="1">
      <formula>NOT(ISERROR(SEARCH("1",K29)))</formula>
    </cfRule>
    <cfRule type="containsText" dxfId="1018" priority="159" stopIfTrue="1" operator="containsText" text="2">
      <formula>NOT(ISERROR(SEARCH("2",K29)))</formula>
    </cfRule>
    <cfRule type="containsText" dxfId="1017" priority="160" stopIfTrue="1" operator="containsText" text="3">
      <formula>NOT(ISERROR(SEARCH("3",K29)))</formula>
    </cfRule>
    <cfRule type="containsText" dxfId="1016" priority="161" stopIfTrue="1" operator="containsText" text="4">
      <formula>NOT(ISERROR(SEARCH("4",K29)))</formula>
    </cfRule>
    <cfRule type="containsText" dxfId="1015" priority="162" stopIfTrue="1" operator="containsText" text="5">
      <formula>NOT(ISERROR(SEARCH("5",K29)))</formula>
    </cfRule>
  </conditionalFormatting>
  <conditionalFormatting sqref="K30:L30">
    <cfRule type="containsText" dxfId="1014" priority="151" stopIfTrue="1" operator="containsText" text="0">
      <formula>NOT(ISERROR(SEARCH("0",K30)))</formula>
    </cfRule>
    <cfRule type="containsText" dxfId="1013" priority="152" stopIfTrue="1" operator="containsText" text="1">
      <formula>NOT(ISERROR(SEARCH("1",K30)))</formula>
    </cfRule>
    <cfRule type="containsText" dxfId="1012" priority="153" stopIfTrue="1" operator="containsText" text="2">
      <formula>NOT(ISERROR(SEARCH("2",K30)))</formula>
    </cfRule>
    <cfRule type="containsText" dxfId="1011" priority="154" stopIfTrue="1" operator="containsText" text="3">
      <formula>NOT(ISERROR(SEARCH("3",K30)))</formula>
    </cfRule>
    <cfRule type="containsText" dxfId="1010" priority="155" stopIfTrue="1" operator="containsText" text="4">
      <formula>NOT(ISERROR(SEARCH("4",K30)))</formula>
    </cfRule>
    <cfRule type="containsText" dxfId="1009" priority="156" stopIfTrue="1" operator="containsText" text="5">
      <formula>NOT(ISERROR(SEARCH("5",K30)))</formula>
    </cfRule>
  </conditionalFormatting>
  <conditionalFormatting sqref="K31:L31">
    <cfRule type="containsText" dxfId="1008" priority="145" stopIfTrue="1" operator="containsText" text="0">
      <formula>NOT(ISERROR(SEARCH("0",K31)))</formula>
    </cfRule>
    <cfRule type="containsText" dxfId="1007" priority="146" stopIfTrue="1" operator="containsText" text="1">
      <formula>NOT(ISERROR(SEARCH("1",K31)))</formula>
    </cfRule>
    <cfRule type="containsText" dxfId="1006" priority="147" stopIfTrue="1" operator="containsText" text="2">
      <formula>NOT(ISERROR(SEARCH("2",K31)))</formula>
    </cfRule>
    <cfRule type="containsText" dxfId="1005" priority="148" stopIfTrue="1" operator="containsText" text="3">
      <formula>NOT(ISERROR(SEARCH("3",K31)))</formula>
    </cfRule>
    <cfRule type="containsText" dxfId="1004" priority="149" stopIfTrue="1" operator="containsText" text="4">
      <formula>NOT(ISERROR(SEARCH("4",K31)))</formula>
    </cfRule>
    <cfRule type="containsText" dxfId="1003" priority="150" stopIfTrue="1" operator="containsText" text="5">
      <formula>NOT(ISERROR(SEARCH("5",K31)))</formula>
    </cfRule>
  </conditionalFormatting>
  <conditionalFormatting sqref="K32:L32">
    <cfRule type="containsText" dxfId="1002" priority="139" stopIfTrue="1" operator="containsText" text="0">
      <formula>NOT(ISERROR(SEARCH("0",K32)))</formula>
    </cfRule>
    <cfRule type="containsText" dxfId="1001" priority="140" stopIfTrue="1" operator="containsText" text="1">
      <formula>NOT(ISERROR(SEARCH("1",K32)))</formula>
    </cfRule>
    <cfRule type="containsText" dxfId="1000" priority="141" stopIfTrue="1" operator="containsText" text="2">
      <formula>NOT(ISERROR(SEARCH("2",K32)))</formula>
    </cfRule>
    <cfRule type="containsText" dxfId="999" priority="142" stopIfTrue="1" operator="containsText" text="3">
      <formula>NOT(ISERROR(SEARCH("3",K32)))</formula>
    </cfRule>
    <cfRule type="containsText" dxfId="998" priority="143" stopIfTrue="1" operator="containsText" text="4">
      <formula>NOT(ISERROR(SEARCH("4",K32)))</formula>
    </cfRule>
    <cfRule type="containsText" dxfId="997" priority="144" stopIfTrue="1" operator="containsText" text="5">
      <formula>NOT(ISERROR(SEARCH("5",K32)))</formula>
    </cfRule>
  </conditionalFormatting>
  <conditionalFormatting sqref="K10:L10">
    <cfRule type="containsText" dxfId="996" priority="127" stopIfTrue="1" operator="containsText" text="0">
      <formula>NOT(ISERROR(SEARCH("0",K10)))</formula>
    </cfRule>
    <cfRule type="containsText" dxfId="995" priority="128" stopIfTrue="1" operator="containsText" text="1">
      <formula>NOT(ISERROR(SEARCH("1",K10)))</formula>
    </cfRule>
    <cfRule type="containsText" dxfId="994" priority="129" stopIfTrue="1" operator="containsText" text="2">
      <formula>NOT(ISERROR(SEARCH("2",K10)))</formula>
    </cfRule>
    <cfRule type="containsText" dxfId="993" priority="130" stopIfTrue="1" operator="containsText" text="3">
      <formula>NOT(ISERROR(SEARCH("3",K10)))</formula>
    </cfRule>
    <cfRule type="containsText" dxfId="992" priority="131" stopIfTrue="1" operator="containsText" text="4">
      <formula>NOT(ISERROR(SEARCH("4",K10)))</formula>
    </cfRule>
    <cfRule type="containsText" dxfId="991" priority="132" stopIfTrue="1" operator="containsText" text="5">
      <formula>NOT(ISERROR(SEARCH("5",K10)))</formula>
    </cfRule>
  </conditionalFormatting>
  <conditionalFormatting sqref="K12:L12">
    <cfRule type="containsText" dxfId="990" priority="121" stopIfTrue="1" operator="containsText" text="0">
      <formula>NOT(ISERROR(SEARCH("0",K12)))</formula>
    </cfRule>
    <cfRule type="containsText" dxfId="989" priority="122" stopIfTrue="1" operator="containsText" text="1">
      <formula>NOT(ISERROR(SEARCH("1",K12)))</formula>
    </cfRule>
    <cfRule type="containsText" dxfId="988" priority="123" stopIfTrue="1" operator="containsText" text="2">
      <formula>NOT(ISERROR(SEARCH("2",K12)))</formula>
    </cfRule>
    <cfRule type="containsText" dxfId="987" priority="124" stopIfTrue="1" operator="containsText" text="3">
      <formula>NOT(ISERROR(SEARCH("3",K12)))</formula>
    </cfRule>
    <cfRule type="containsText" dxfId="986" priority="125" stopIfTrue="1" operator="containsText" text="4">
      <formula>NOT(ISERROR(SEARCH("4",K12)))</formula>
    </cfRule>
    <cfRule type="containsText" dxfId="985" priority="126" stopIfTrue="1" operator="containsText" text="5">
      <formula>NOT(ISERROR(SEARCH("5",K12)))</formula>
    </cfRule>
  </conditionalFormatting>
  <conditionalFormatting sqref="K14:L14">
    <cfRule type="containsText" dxfId="984" priority="115" stopIfTrue="1" operator="containsText" text="0">
      <formula>NOT(ISERROR(SEARCH("0",K14)))</formula>
    </cfRule>
    <cfRule type="containsText" dxfId="983" priority="116" stopIfTrue="1" operator="containsText" text="1">
      <formula>NOT(ISERROR(SEARCH("1",K14)))</formula>
    </cfRule>
    <cfRule type="containsText" dxfId="982" priority="117" stopIfTrue="1" operator="containsText" text="2">
      <formula>NOT(ISERROR(SEARCH("2",K14)))</formula>
    </cfRule>
    <cfRule type="containsText" dxfId="981" priority="118" stopIfTrue="1" operator="containsText" text="3">
      <formula>NOT(ISERROR(SEARCH("3",K14)))</formula>
    </cfRule>
    <cfRule type="containsText" dxfId="980" priority="119" stopIfTrue="1" operator="containsText" text="4">
      <formula>NOT(ISERROR(SEARCH("4",K14)))</formula>
    </cfRule>
    <cfRule type="containsText" dxfId="979" priority="120" stopIfTrue="1" operator="containsText" text="5">
      <formula>NOT(ISERROR(SEARCH("5",K14)))</formula>
    </cfRule>
  </conditionalFormatting>
  <conditionalFormatting sqref="K15:L15">
    <cfRule type="containsText" dxfId="978" priority="109" stopIfTrue="1" operator="containsText" text="0">
      <formula>NOT(ISERROR(SEARCH("0",K15)))</formula>
    </cfRule>
    <cfRule type="containsText" dxfId="977" priority="110" stopIfTrue="1" operator="containsText" text="1">
      <formula>NOT(ISERROR(SEARCH("1",K15)))</formula>
    </cfRule>
    <cfRule type="containsText" dxfId="976" priority="111" stopIfTrue="1" operator="containsText" text="2">
      <formula>NOT(ISERROR(SEARCH("2",K15)))</formula>
    </cfRule>
    <cfRule type="containsText" dxfId="975" priority="112" stopIfTrue="1" operator="containsText" text="3">
      <formula>NOT(ISERROR(SEARCH("3",K15)))</formula>
    </cfRule>
    <cfRule type="containsText" dxfId="974" priority="113" stopIfTrue="1" operator="containsText" text="4">
      <formula>NOT(ISERROR(SEARCH("4",K15)))</formula>
    </cfRule>
    <cfRule type="containsText" dxfId="973" priority="114" stopIfTrue="1" operator="containsText" text="5">
      <formula>NOT(ISERROR(SEARCH("5",K15)))</formula>
    </cfRule>
  </conditionalFormatting>
  <conditionalFormatting sqref="K16:L16">
    <cfRule type="containsText" dxfId="972" priority="103" stopIfTrue="1" operator="containsText" text="0">
      <formula>NOT(ISERROR(SEARCH("0",K16)))</formula>
    </cfRule>
    <cfRule type="containsText" dxfId="971" priority="104" stopIfTrue="1" operator="containsText" text="1">
      <formula>NOT(ISERROR(SEARCH("1",K16)))</formula>
    </cfRule>
    <cfRule type="containsText" dxfId="970" priority="105" stopIfTrue="1" operator="containsText" text="2">
      <formula>NOT(ISERROR(SEARCH("2",K16)))</formula>
    </cfRule>
    <cfRule type="containsText" dxfId="969" priority="106" stopIfTrue="1" operator="containsText" text="3">
      <formula>NOT(ISERROR(SEARCH("3",K16)))</formula>
    </cfRule>
    <cfRule type="containsText" dxfId="968" priority="107" stopIfTrue="1" operator="containsText" text="4">
      <formula>NOT(ISERROR(SEARCH("4",K16)))</formula>
    </cfRule>
    <cfRule type="containsText" dxfId="967" priority="108" stopIfTrue="1" operator="containsText" text="5">
      <formula>NOT(ISERROR(SEARCH("5",K16)))</formula>
    </cfRule>
  </conditionalFormatting>
  <conditionalFormatting sqref="K17:L17">
    <cfRule type="containsText" dxfId="966" priority="97" stopIfTrue="1" operator="containsText" text="0">
      <formula>NOT(ISERROR(SEARCH("0",K17)))</formula>
    </cfRule>
    <cfRule type="containsText" dxfId="965" priority="98" stopIfTrue="1" operator="containsText" text="1">
      <formula>NOT(ISERROR(SEARCH("1",K17)))</formula>
    </cfRule>
    <cfRule type="containsText" dxfId="964" priority="99" stopIfTrue="1" operator="containsText" text="2">
      <formula>NOT(ISERROR(SEARCH("2",K17)))</formula>
    </cfRule>
    <cfRule type="containsText" dxfId="963" priority="100" stopIfTrue="1" operator="containsText" text="3">
      <formula>NOT(ISERROR(SEARCH("3",K17)))</formula>
    </cfRule>
    <cfRule type="containsText" dxfId="962" priority="101" stopIfTrue="1" operator="containsText" text="4">
      <formula>NOT(ISERROR(SEARCH("4",K17)))</formula>
    </cfRule>
    <cfRule type="containsText" dxfId="961" priority="102" stopIfTrue="1" operator="containsText" text="5">
      <formula>NOT(ISERROR(SEARCH("5",K17)))</formula>
    </cfRule>
  </conditionalFormatting>
  <conditionalFormatting sqref="K33:L33">
    <cfRule type="containsText" dxfId="960" priority="73" stopIfTrue="1" operator="containsText" text="0">
      <formula>NOT(ISERROR(SEARCH("0",K33)))</formula>
    </cfRule>
    <cfRule type="containsText" dxfId="959" priority="74" stopIfTrue="1" operator="containsText" text="1">
      <formula>NOT(ISERROR(SEARCH("1",K33)))</formula>
    </cfRule>
    <cfRule type="containsText" dxfId="958" priority="75" stopIfTrue="1" operator="containsText" text="2">
      <formula>NOT(ISERROR(SEARCH("2",K33)))</formula>
    </cfRule>
    <cfRule type="containsText" dxfId="957" priority="76" stopIfTrue="1" operator="containsText" text="3">
      <formula>NOT(ISERROR(SEARCH("3",K33)))</formula>
    </cfRule>
    <cfRule type="containsText" dxfId="956" priority="77" stopIfTrue="1" operator="containsText" text="4">
      <formula>NOT(ISERROR(SEARCH("4",K33)))</formula>
    </cfRule>
    <cfRule type="containsText" dxfId="955" priority="78" stopIfTrue="1" operator="containsText" text="5">
      <formula>NOT(ISERROR(SEARCH("5",K33)))</formula>
    </cfRule>
  </conditionalFormatting>
  <conditionalFormatting sqref="K34:L34">
    <cfRule type="containsText" dxfId="954" priority="55" stopIfTrue="1" operator="containsText" text="0">
      <formula>NOT(ISERROR(SEARCH("0",K34)))</formula>
    </cfRule>
    <cfRule type="containsText" dxfId="953" priority="56" stopIfTrue="1" operator="containsText" text="1">
      <formula>NOT(ISERROR(SEARCH("1",K34)))</formula>
    </cfRule>
    <cfRule type="containsText" dxfId="952" priority="57" stopIfTrue="1" operator="containsText" text="2">
      <formula>NOT(ISERROR(SEARCH("2",K34)))</formula>
    </cfRule>
    <cfRule type="containsText" dxfId="951" priority="58" stopIfTrue="1" operator="containsText" text="3">
      <formula>NOT(ISERROR(SEARCH("3",K34)))</formula>
    </cfRule>
    <cfRule type="containsText" dxfId="950" priority="59" stopIfTrue="1" operator="containsText" text="4">
      <formula>NOT(ISERROR(SEARCH("4",K34)))</formula>
    </cfRule>
    <cfRule type="containsText" dxfId="949" priority="60" stopIfTrue="1" operator="containsText" text="5">
      <formula>NOT(ISERROR(SEARCH("5",K34)))</formula>
    </cfRule>
  </conditionalFormatting>
  <conditionalFormatting sqref="K18:L18">
    <cfRule type="containsText" dxfId="948" priority="49" stopIfTrue="1" operator="containsText" text="0">
      <formula>NOT(ISERROR(SEARCH("0",K18)))</formula>
    </cfRule>
    <cfRule type="containsText" dxfId="947" priority="50" stopIfTrue="1" operator="containsText" text="1">
      <formula>NOT(ISERROR(SEARCH("1",K18)))</formula>
    </cfRule>
    <cfRule type="containsText" dxfId="946" priority="51" stopIfTrue="1" operator="containsText" text="2">
      <formula>NOT(ISERROR(SEARCH("2",K18)))</formula>
    </cfRule>
    <cfRule type="containsText" dxfId="945" priority="52" stopIfTrue="1" operator="containsText" text="3">
      <formula>NOT(ISERROR(SEARCH("3",K18)))</formula>
    </cfRule>
    <cfRule type="containsText" dxfId="944" priority="53" stopIfTrue="1" operator="containsText" text="4">
      <formula>NOT(ISERROR(SEARCH("4",K18)))</formula>
    </cfRule>
    <cfRule type="containsText" dxfId="943" priority="54" stopIfTrue="1" operator="containsText" text="5">
      <formula>NOT(ISERROR(SEARCH("5",K18)))</formula>
    </cfRule>
  </conditionalFormatting>
  <conditionalFormatting sqref="K19:L19">
    <cfRule type="containsText" dxfId="942" priority="37" stopIfTrue="1" operator="containsText" text="0">
      <formula>NOT(ISERROR(SEARCH("0",K19)))</formula>
    </cfRule>
    <cfRule type="containsText" dxfId="941" priority="38" stopIfTrue="1" operator="containsText" text="1">
      <formula>NOT(ISERROR(SEARCH("1",K19)))</formula>
    </cfRule>
    <cfRule type="containsText" dxfId="940" priority="39" stopIfTrue="1" operator="containsText" text="2">
      <formula>NOT(ISERROR(SEARCH("2",K19)))</formula>
    </cfRule>
    <cfRule type="containsText" dxfId="939" priority="40" stopIfTrue="1" operator="containsText" text="3">
      <formula>NOT(ISERROR(SEARCH("3",K19)))</formula>
    </cfRule>
    <cfRule type="containsText" dxfId="938" priority="41" stopIfTrue="1" operator="containsText" text="4">
      <formula>NOT(ISERROR(SEARCH("4",K19)))</formula>
    </cfRule>
    <cfRule type="containsText" dxfId="937" priority="42" stopIfTrue="1" operator="containsText" text="5">
      <formula>NOT(ISERROR(SEARCH("5",K19)))</formula>
    </cfRule>
  </conditionalFormatting>
  <conditionalFormatting sqref="K20:L20">
    <cfRule type="containsText" dxfId="936" priority="31" stopIfTrue="1" operator="containsText" text="0">
      <formula>NOT(ISERROR(SEARCH("0",K20)))</formula>
    </cfRule>
    <cfRule type="containsText" dxfId="935" priority="32" stopIfTrue="1" operator="containsText" text="1">
      <formula>NOT(ISERROR(SEARCH("1",K20)))</formula>
    </cfRule>
    <cfRule type="containsText" dxfId="934" priority="33" stopIfTrue="1" operator="containsText" text="2">
      <formula>NOT(ISERROR(SEARCH("2",K20)))</formula>
    </cfRule>
    <cfRule type="containsText" dxfId="933" priority="34" stopIfTrue="1" operator="containsText" text="3">
      <formula>NOT(ISERROR(SEARCH("3",K20)))</formula>
    </cfRule>
    <cfRule type="containsText" dxfId="932" priority="35" stopIfTrue="1" operator="containsText" text="4">
      <formula>NOT(ISERROR(SEARCH("4",K20)))</formula>
    </cfRule>
    <cfRule type="containsText" dxfId="931" priority="36" stopIfTrue="1" operator="containsText" text="5">
      <formula>NOT(ISERROR(SEARCH("5",K20)))</formula>
    </cfRule>
  </conditionalFormatting>
  <conditionalFormatting sqref="K22:L22">
    <cfRule type="containsText" dxfId="930" priority="25" stopIfTrue="1" operator="containsText" text="0">
      <formula>NOT(ISERROR(SEARCH("0",K22)))</formula>
    </cfRule>
    <cfRule type="containsText" dxfId="929" priority="26" stopIfTrue="1" operator="containsText" text="1">
      <formula>NOT(ISERROR(SEARCH("1",K22)))</formula>
    </cfRule>
    <cfRule type="containsText" dxfId="928" priority="27" stopIfTrue="1" operator="containsText" text="2">
      <formula>NOT(ISERROR(SEARCH("2",K22)))</formula>
    </cfRule>
    <cfRule type="containsText" dxfId="927" priority="28" stopIfTrue="1" operator="containsText" text="3">
      <formula>NOT(ISERROR(SEARCH("3",K22)))</formula>
    </cfRule>
    <cfRule type="containsText" dxfId="926" priority="29" stopIfTrue="1" operator="containsText" text="4">
      <formula>NOT(ISERROR(SEARCH("4",K22)))</formula>
    </cfRule>
    <cfRule type="containsText" dxfId="925" priority="30" stopIfTrue="1" operator="containsText" text="5">
      <formula>NOT(ISERROR(SEARCH("5",K22)))</formula>
    </cfRule>
  </conditionalFormatting>
  <conditionalFormatting sqref="K23:L23">
    <cfRule type="containsText" dxfId="924" priority="19" stopIfTrue="1" operator="containsText" text="0">
      <formula>NOT(ISERROR(SEARCH("0",K23)))</formula>
    </cfRule>
    <cfRule type="containsText" dxfId="923" priority="20" stopIfTrue="1" operator="containsText" text="1">
      <formula>NOT(ISERROR(SEARCH("1",K23)))</formula>
    </cfRule>
    <cfRule type="containsText" dxfId="922" priority="21" stopIfTrue="1" operator="containsText" text="2">
      <formula>NOT(ISERROR(SEARCH("2",K23)))</formula>
    </cfRule>
    <cfRule type="containsText" dxfId="921" priority="22" stopIfTrue="1" operator="containsText" text="3">
      <formula>NOT(ISERROR(SEARCH("3",K23)))</formula>
    </cfRule>
    <cfRule type="containsText" dxfId="920" priority="23" stopIfTrue="1" operator="containsText" text="4">
      <formula>NOT(ISERROR(SEARCH("4",K23)))</formula>
    </cfRule>
    <cfRule type="containsText" dxfId="919" priority="24" stopIfTrue="1" operator="containsText" text="5">
      <formula>NOT(ISERROR(SEARCH("5",K23)))</formula>
    </cfRule>
  </conditionalFormatting>
  <conditionalFormatting sqref="K24:L24">
    <cfRule type="containsText" dxfId="918" priority="13" stopIfTrue="1" operator="containsText" text="0">
      <formula>NOT(ISERROR(SEARCH("0",K24)))</formula>
    </cfRule>
    <cfRule type="containsText" dxfId="917" priority="14" stopIfTrue="1" operator="containsText" text="1">
      <formula>NOT(ISERROR(SEARCH("1",K24)))</formula>
    </cfRule>
    <cfRule type="containsText" dxfId="916" priority="15" stopIfTrue="1" operator="containsText" text="2">
      <formula>NOT(ISERROR(SEARCH("2",K24)))</formula>
    </cfRule>
    <cfRule type="containsText" dxfId="915" priority="16" stopIfTrue="1" operator="containsText" text="3">
      <formula>NOT(ISERROR(SEARCH("3",K24)))</formula>
    </cfRule>
    <cfRule type="containsText" dxfId="914" priority="17" stopIfTrue="1" operator="containsText" text="4">
      <formula>NOT(ISERROR(SEARCH("4",K24)))</formula>
    </cfRule>
    <cfRule type="containsText" dxfId="913" priority="18" stopIfTrue="1" operator="containsText" text="5">
      <formula>NOT(ISERROR(SEARCH("5",K24)))</formula>
    </cfRule>
  </conditionalFormatting>
  <conditionalFormatting sqref="K25:L25">
    <cfRule type="containsText" dxfId="912" priority="7" stopIfTrue="1" operator="containsText" text="0">
      <formula>NOT(ISERROR(SEARCH("0",K25)))</formula>
    </cfRule>
    <cfRule type="containsText" dxfId="911" priority="8" stopIfTrue="1" operator="containsText" text="1">
      <formula>NOT(ISERROR(SEARCH("1",K25)))</formula>
    </cfRule>
    <cfRule type="containsText" dxfId="910" priority="9" stopIfTrue="1" operator="containsText" text="2">
      <formula>NOT(ISERROR(SEARCH("2",K25)))</formula>
    </cfRule>
    <cfRule type="containsText" dxfId="909" priority="10" stopIfTrue="1" operator="containsText" text="3">
      <formula>NOT(ISERROR(SEARCH("3",K25)))</formula>
    </cfRule>
    <cfRule type="containsText" dxfId="908" priority="11" stopIfTrue="1" operator="containsText" text="4">
      <formula>NOT(ISERROR(SEARCH("4",K25)))</formula>
    </cfRule>
    <cfRule type="containsText" dxfId="907" priority="12" stopIfTrue="1" operator="containsText" text="5">
      <formula>NOT(ISERROR(SEARCH("5",K25)))</formula>
    </cfRule>
  </conditionalFormatting>
  <conditionalFormatting sqref="K26:L26">
    <cfRule type="containsText" dxfId="906" priority="1" stopIfTrue="1" operator="containsText" text="0">
      <formula>NOT(ISERROR(SEARCH("0",K26)))</formula>
    </cfRule>
    <cfRule type="containsText" dxfId="905" priority="2" stopIfTrue="1" operator="containsText" text="1">
      <formula>NOT(ISERROR(SEARCH("1",K26)))</formula>
    </cfRule>
    <cfRule type="containsText" dxfId="904" priority="3" stopIfTrue="1" operator="containsText" text="2">
      <formula>NOT(ISERROR(SEARCH("2",K26)))</formula>
    </cfRule>
    <cfRule type="containsText" dxfId="903" priority="4" stopIfTrue="1" operator="containsText" text="3">
      <formula>NOT(ISERROR(SEARCH("3",K26)))</formula>
    </cfRule>
    <cfRule type="containsText" dxfId="902" priority="5" stopIfTrue="1" operator="containsText" text="4">
      <formula>NOT(ISERROR(SEARCH("4",K26)))</formula>
    </cfRule>
    <cfRule type="containsText" dxfId="901" priority="6" stopIfTrue="1" operator="containsText" text="5">
      <formula>NOT(ISERROR(SEARCH("5",K26)))</formula>
    </cfRule>
  </conditionalFormatting>
  <printOptions horizontalCentere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AddTargetLateral">
                <anchor moveWithCells="1" sizeWithCells="1">
                  <from>
                    <xdr:col>12</xdr:col>
                    <xdr:colOff>57150</xdr:colOff>
                    <xdr:row>6</xdr:row>
                    <xdr:rowOff>12700</xdr:rowOff>
                  </from>
                  <to>
                    <xdr:col>15</xdr:col>
                    <xdr:colOff>514350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5" name="Button 7">
              <controlPr defaultSize="0" print="0" autoFill="0" autoPict="0" macro="[0]!AddrowTL">
                <anchor moveWithCells="1" sizeWithCells="1">
                  <from>
                    <xdr:col>12</xdr:col>
                    <xdr:colOff>50800</xdr:colOff>
                    <xdr:row>1</xdr:row>
                    <xdr:rowOff>50800</xdr:rowOff>
                  </from>
                  <to>
                    <xdr:col>15</xdr:col>
                    <xdr:colOff>508000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6" name="Button 8">
              <controlPr defaultSize="0" print="0" autoFill="0" autoPict="0" macro="[0]!DeleteRowTL">
                <anchor moveWithCells="1" sizeWithCells="1">
                  <from>
                    <xdr:col>12</xdr:col>
                    <xdr:colOff>57150</xdr:colOff>
                    <xdr:row>2</xdr:row>
                    <xdr:rowOff>152400</xdr:rowOff>
                  </from>
                  <to>
                    <xdr:col>15</xdr:col>
                    <xdr:colOff>514350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pageSetUpPr fitToPage="1"/>
  </sheetPr>
  <dimension ref="A1:Y38"/>
  <sheetViews>
    <sheetView zoomScaleNormal="100" workbookViewId="0">
      <selection activeCell="E18" sqref="E18:J18"/>
    </sheetView>
  </sheetViews>
  <sheetFormatPr defaultRowHeight="12.5"/>
  <cols>
    <col min="1" max="1" width="7.453125" customWidth="1"/>
    <col min="2" max="2" width="8.54296875" customWidth="1"/>
    <col min="3" max="9" width="7.453125" customWidth="1"/>
    <col min="10" max="10" width="10.81640625" customWidth="1"/>
    <col min="11" max="11" width="7.453125" customWidth="1"/>
    <col min="12" max="12" width="11.54296875" customWidth="1"/>
    <col min="13" max="13" width="9.1796875" style="23"/>
    <col min="17" max="22" width="15.7265625" customWidth="1"/>
  </cols>
  <sheetData>
    <row r="1" spans="1:25" s="15" customFormat="1" ht="23">
      <c r="A1" s="350" t="s">
        <v>105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160"/>
      <c r="N1" s="161"/>
      <c r="O1" s="161"/>
      <c r="P1" s="161"/>
      <c r="Q1"/>
      <c r="R1" s="127" t="s">
        <v>128</v>
      </c>
      <c r="S1" s="127"/>
      <c r="T1" s="127"/>
      <c r="U1"/>
      <c r="W1"/>
      <c r="X1"/>
      <c r="Y1"/>
    </row>
    <row r="2" spans="1:25" ht="14.5">
      <c r="A2" s="412"/>
      <c r="B2" s="412"/>
      <c r="C2" s="412"/>
      <c r="D2" s="412"/>
      <c r="E2" s="412"/>
      <c r="F2" s="412"/>
      <c r="G2" s="412"/>
      <c r="H2" s="412"/>
      <c r="I2" s="412"/>
      <c r="J2" s="412"/>
      <c r="K2" s="412"/>
      <c r="L2" s="412"/>
      <c r="M2" s="162"/>
      <c r="N2" s="127"/>
      <c r="O2" s="127"/>
      <c r="P2" s="127"/>
      <c r="Q2" s="149" t="s">
        <v>126</v>
      </c>
      <c r="R2" s="126" t="s">
        <v>124</v>
      </c>
    </row>
    <row r="3" spans="1:25" ht="14.5">
      <c r="A3" s="413" t="s">
        <v>101</v>
      </c>
      <c r="B3" s="413"/>
      <c r="C3" s="413"/>
      <c r="D3" s="413"/>
      <c r="E3" s="413"/>
      <c r="F3" s="413"/>
      <c r="G3" s="413"/>
      <c r="H3" s="413"/>
      <c r="I3" s="413"/>
      <c r="J3" s="413"/>
      <c r="K3" s="413"/>
      <c r="L3" s="413"/>
      <c r="M3" s="162"/>
      <c r="N3" s="127"/>
      <c r="O3" s="127"/>
      <c r="P3" s="127"/>
      <c r="Q3" s="149" t="s">
        <v>127</v>
      </c>
      <c r="R3" s="126" t="s">
        <v>125</v>
      </c>
    </row>
    <row r="4" spans="1:25">
      <c r="A4" s="412"/>
      <c r="B4" s="412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162"/>
      <c r="N4" s="127"/>
      <c r="O4" s="127"/>
      <c r="P4" s="127"/>
    </row>
    <row r="5" spans="1:25" ht="13.15" customHeight="1">
      <c r="A5" s="401" t="s">
        <v>86</v>
      </c>
      <c r="B5" s="402"/>
      <c r="C5" s="403" t="s">
        <v>87</v>
      </c>
      <c r="D5" s="402"/>
      <c r="E5" s="404"/>
      <c r="F5" s="405"/>
      <c r="G5" s="405"/>
      <c r="H5" s="405"/>
      <c r="I5" s="405"/>
      <c r="J5" s="406"/>
      <c r="K5" s="407" t="s">
        <v>107</v>
      </c>
      <c r="L5" s="408"/>
      <c r="Q5" s="397" t="s">
        <v>152</v>
      </c>
      <c r="R5" s="397"/>
      <c r="S5" s="398"/>
      <c r="T5" s="399" t="s">
        <v>153</v>
      </c>
      <c r="U5" s="397"/>
      <c r="V5" s="398"/>
    </row>
    <row r="6" spans="1:25" ht="13">
      <c r="A6" s="143" t="s">
        <v>46</v>
      </c>
      <c r="B6" s="108" t="s">
        <v>47</v>
      </c>
      <c r="C6" s="108" t="s">
        <v>88</v>
      </c>
      <c r="D6" s="109" t="s">
        <v>89</v>
      </c>
      <c r="E6" s="409" t="s">
        <v>90</v>
      </c>
      <c r="F6" s="410"/>
      <c r="G6" s="410"/>
      <c r="H6" s="410"/>
      <c r="I6" s="410"/>
      <c r="J6" s="411"/>
      <c r="K6" s="410" t="s">
        <v>91</v>
      </c>
      <c r="L6" s="410"/>
      <c r="Q6" s="144" t="s">
        <v>154</v>
      </c>
      <c r="R6" s="145" t="s">
        <v>155</v>
      </c>
      <c r="S6" s="150" t="s">
        <v>156</v>
      </c>
      <c r="T6" s="151" t="s">
        <v>154</v>
      </c>
      <c r="U6" s="146" t="s">
        <v>155</v>
      </c>
      <c r="V6" s="150" t="s">
        <v>156</v>
      </c>
    </row>
    <row r="7" spans="1:25" s="159" customFormat="1">
      <c r="A7" s="129">
        <v>1007</v>
      </c>
      <c r="B7" s="77">
        <v>1025</v>
      </c>
      <c r="C7" s="134" t="s">
        <v>330</v>
      </c>
      <c r="D7" s="135" t="s">
        <v>326</v>
      </c>
      <c r="E7" s="388" t="s">
        <v>331</v>
      </c>
      <c r="F7" s="389"/>
      <c r="G7" s="389"/>
      <c r="H7" s="389"/>
      <c r="I7" s="389"/>
      <c r="J7" s="390"/>
      <c r="K7" s="391">
        <v>4</v>
      </c>
      <c r="L7" s="392"/>
      <c r="M7" s="157"/>
      <c r="N7" s="158"/>
      <c r="Q7" s="284">
        <v>1007</v>
      </c>
      <c r="R7" s="77">
        <v>576.69999999999993</v>
      </c>
      <c r="S7" s="288">
        <v>112.2</v>
      </c>
      <c r="T7" s="152"/>
      <c r="U7" s="77"/>
      <c r="V7" s="153"/>
      <c r="W7" s="147"/>
    </row>
    <row r="8" spans="1:25" s="159" customFormat="1">
      <c r="A8" s="129">
        <f>B7</f>
        <v>1025</v>
      </c>
      <c r="B8" s="77">
        <v>1160</v>
      </c>
      <c r="C8" s="134">
        <v>0.18</v>
      </c>
      <c r="D8" s="135">
        <v>0.15</v>
      </c>
      <c r="E8" s="388" t="s">
        <v>352</v>
      </c>
      <c r="F8" s="389"/>
      <c r="G8" s="389"/>
      <c r="H8" s="389"/>
      <c r="I8" s="389"/>
      <c r="J8" s="390"/>
      <c r="K8" s="391">
        <v>4</v>
      </c>
      <c r="L8" s="392"/>
      <c r="M8" s="157"/>
      <c r="N8" s="158"/>
      <c r="Q8" s="284">
        <v>1065</v>
      </c>
      <c r="R8" s="77">
        <v>577.1</v>
      </c>
      <c r="S8" s="288">
        <v>111.8</v>
      </c>
      <c r="T8" s="152"/>
      <c r="U8" s="77"/>
      <c r="V8" s="153"/>
      <c r="W8" s="147"/>
    </row>
    <row r="9" spans="1:25" s="159" customFormat="1" ht="25.5" customHeight="1">
      <c r="A9" s="129">
        <f t="shared" ref="A9:A22" si="0">B8</f>
        <v>1160</v>
      </c>
      <c r="B9" s="77">
        <v>1200</v>
      </c>
      <c r="C9" s="134" t="s">
        <v>325</v>
      </c>
      <c r="D9" s="135" t="s">
        <v>326</v>
      </c>
      <c r="E9" s="388" t="s">
        <v>335</v>
      </c>
      <c r="F9" s="389"/>
      <c r="G9" s="389"/>
      <c r="H9" s="389"/>
      <c r="I9" s="389"/>
      <c r="J9" s="390"/>
      <c r="K9" s="391">
        <v>4</v>
      </c>
      <c r="L9" s="392"/>
      <c r="M9" s="157"/>
      <c r="N9" s="158"/>
      <c r="Q9" s="284">
        <v>1095</v>
      </c>
      <c r="R9" s="77">
        <v>577.19999999999993</v>
      </c>
      <c r="S9" s="288">
        <v>111.7</v>
      </c>
      <c r="T9" s="152"/>
      <c r="U9" s="77"/>
      <c r="V9" s="153"/>
      <c r="W9" s="147"/>
    </row>
    <row r="10" spans="1:25" s="159" customFormat="1" ht="12.75" customHeight="1">
      <c r="A10" s="129">
        <f t="shared" si="0"/>
        <v>1200</v>
      </c>
      <c r="B10" s="77">
        <v>1310</v>
      </c>
      <c r="C10" s="134" t="s">
        <v>325</v>
      </c>
      <c r="D10" s="135" t="s">
        <v>326</v>
      </c>
      <c r="E10" s="388" t="s">
        <v>353</v>
      </c>
      <c r="F10" s="389"/>
      <c r="G10" s="389"/>
      <c r="H10" s="389"/>
      <c r="I10" s="389"/>
      <c r="J10" s="390"/>
      <c r="K10" s="391">
        <v>4</v>
      </c>
      <c r="L10" s="392"/>
      <c r="M10" s="157"/>
      <c r="N10" s="158"/>
      <c r="Q10" s="284">
        <v>1200</v>
      </c>
      <c r="R10" s="77">
        <v>577.4</v>
      </c>
      <c r="S10" s="288">
        <v>111.5</v>
      </c>
      <c r="T10" s="152"/>
      <c r="U10" s="77"/>
      <c r="V10" s="153"/>
      <c r="W10" s="147"/>
    </row>
    <row r="11" spans="1:25" s="159" customFormat="1" ht="12.75" customHeight="1">
      <c r="A11" s="129">
        <f t="shared" si="0"/>
        <v>1310</v>
      </c>
      <c r="B11" s="77">
        <v>1325</v>
      </c>
      <c r="C11" s="134" t="s">
        <v>325</v>
      </c>
      <c r="D11" s="135" t="s">
        <v>326</v>
      </c>
      <c r="E11" s="388" t="s">
        <v>336</v>
      </c>
      <c r="F11" s="389"/>
      <c r="G11" s="389"/>
      <c r="H11" s="389"/>
      <c r="I11" s="389"/>
      <c r="J11" s="390"/>
      <c r="K11" s="391">
        <v>3</v>
      </c>
      <c r="L11" s="392"/>
      <c r="M11" s="157"/>
      <c r="N11" s="158"/>
      <c r="Q11" s="284">
        <v>1300</v>
      </c>
      <c r="R11" s="77">
        <v>577.4</v>
      </c>
      <c r="S11" s="288">
        <v>111.5</v>
      </c>
      <c r="T11" s="152"/>
      <c r="U11" s="77"/>
      <c r="V11" s="153"/>
      <c r="W11" s="147"/>
    </row>
    <row r="12" spans="1:25" s="159" customFormat="1" ht="12.75" customHeight="1">
      <c r="A12" s="129">
        <f t="shared" si="0"/>
        <v>1325</v>
      </c>
      <c r="B12" s="77">
        <v>1380</v>
      </c>
      <c r="C12" s="134" t="s">
        <v>325</v>
      </c>
      <c r="D12" s="135" t="s">
        <v>326</v>
      </c>
      <c r="E12" s="388" t="s">
        <v>353</v>
      </c>
      <c r="F12" s="389"/>
      <c r="G12" s="389"/>
      <c r="H12" s="389"/>
      <c r="I12" s="389"/>
      <c r="J12" s="390"/>
      <c r="K12" s="391">
        <v>4</v>
      </c>
      <c r="L12" s="392"/>
      <c r="M12" s="157"/>
      <c r="N12" s="158"/>
      <c r="Q12" s="284">
        <v>1400</v>
      </c>
      <c r="R12" s="77">
        <v>577.4</v>
      </c>
      <c r="S12" s="288">
        <v>111.5</v>
      </c>
      <c r="T12" s="152"/>
      <c r="U12" s="77"/>
      <c r="V12" s="153"/>
      <c r="W12" s="148"/>
    </row>
    <row r="13" spans="1:25" s="159" customFormat="1" ht="12.75" customHeight="1">
      <c r="A13" s="129">
        <f t="shared" si="0"/>
        <v>1380</v>
      </c>
      <c r="B13" s="77">
        <v>1440</v>
      </c>
      <c r="C13" s="134">
        <v>0.18</v>
      </c>
      <c r="D13" s="135">
        <v>0.15</v>
      </c>
      <c r="E13" s="388" t="s">
        <v>352</v>
      </c>
      <c r="F13" s="389"/>
      <c r="G13" s="389"/>
      <c r="H13" s="389"/>
      <c r="I13" s="389"/>
      <c r="J13" s="390"/>
      <c r="K13" s="391">
        <v>4</v>
      </c>
      <c r="L13" s="392"/>
      <c r="M13" s="157"/>
      <c r="N13" s="158"/>
      <c r="Q13" s="284">
        <v>1500</v>
      </c>
      <c r="R13" s="77">
        <v>577.4</v>
      </c>
      <c r="S13" s="288">
        <v>111.5</v>
      </c>
      <c r="T13" s="152"/>
      <c r="U13" s="77"/>
      <c r="V13" s="153"/>
      <c r="W13" s="147"/>
    </row>
    <row r="14" spans="1:25" s="159" customFormat="1" ht="14.25" customHeight="1">
      <c r="A14" s="129">
        <f t="shared" si="0"/>
        <v>1440</v>
      </c>
      <c r="B14" s="77">
        <v>1670</v>
      </c>
      <c r="C14" s="134" t="s">
        <v>325</v>
      </c>
      <c r="D14" s="135" t="s">
        <v>326</v>
      </c>
      <c r="E14" s="388" t="s">
        <v>353</v>
      </c>
      <c r="F14" s="389"/>
      <c r="G14" s="389"/>
      <c r="H14" s="389"/>
      <c r="I14" s="389"/>
      <c r="J14" s="390"/>
      <c r="K14" s="391">
        <v>4</v>
      </c>
      <c r="L14" s="392"/>
      <c r="M14" s="157"/>
      <c r="N14" s="158"/>
      <c r="Q14" s="284">
        <v>1600</v>
      </c>
      <c r="R14" s="77">
        <v>577.4</v>
      </c>
      <c r="S14" s="288">
        <v>111.5</v>
      </c>
      <c r="T14" s="152"/>
      <c r="U14" s="77"/>
      <c r="V14" s="153"/>
      <c r="W14" s="147"/>
    </row>
    <row r="15" spans="1:25" s="159" customFormat="1">
      <c r="A15" s="129">
        <f t="shared" si="0"/>
        <v>1670</v>
      </c>
      <c r="B15" s="77">
        <v>1730</v>
      </c>
      <c r="C15" s="134" t="s">
        <v>354</v>
      </c>
      <c r="D15" s="135" t="s">
        <v>320</v>
      </c>
      <c r="E15" s="414" t="s">
        <v>355</v>
      </c>
      <c r="F15" s="415"/>
      <c r="G15" s="415"/>
      <c r="H15" s="415"/>
      <c r="I15" s="415"/>
      <c r="J15" s="416"/>
      <c r="K15" s="414">
        <v>3</v>
      </c>
      <c r="L15" s="415"/>
      <c r="M15" s="157"/>
      <c r="N15" s="158"/>
      <c r="Q15" s="284">
        <v>1700</v>
      </c>
      <c r="R15" s="77">
        <v>577.9</v>
      </c>
      <c r="S15" s="288">
        <v>111</v>
      </c>
      <c r="T15" s="152"/>
      <c r="U15" s="77"/>
      <c r="V15" s="153"/>
      <c r="W15" s="147"/>
    </row>
    <row r="16" spans="1:25" s="159" customFormat="1" ht="23.15" customHeight="1">
      <c r="A16" s="129">
        <f t="shared" si="0"/>
        <v>1730</v>
      </c>
      <c r="B16" s="77">
        <v>1815</v>
      </c>
      <c r="C16" s="134" t="s">
        <v>325</v>
      </c>
      <c r="D16" s="135" t="s">
        <v>326</v>
      </c>
      <c r="E16" s="388" t="s">
        <v>356</v>
      </c>
      <c r="F16" s="389"/>
      <c r="G16" s="389"/>
      <c r="H16" s="389"/>
      <c r="I16" s="389"/>
      <c r="J16" s="390"/>
      <c r="K16" s="391">
        <v>4</v>
      </c>
      <c r="L16" s="392"/>
      <c r="M16" s="157"/>
      <c r="N16" s="158"/>
      <c r="Q16" s="77">
        <v>1800</v>
      </c>
      <c r="R16" s="77">
        <v>578.9</v>
      </c>
      <c r="S16" s="288">
        <v>110</v>
      </c>
      <c r="T16" s="152"/>
      <c r="U16" s="77"/>
      <c r="V16" s="153"/>
      <c r="W16" s="147"/>
    </row>
    <row r="17" spans="1:23" s="159" customFormat="1">
      <c r="A17" s="129">
        <f t="shared" si="0"/>
        <v>1815</v>
      </c>
      <c r="B17" s="77">
        <v>1935</v>
      </c>
      <c r="C17" s="134" t="s">
        <v>325</v>
      </c>
      <c r="D17" s="135" t="s">
        <v>326</v>
      </c>
      <c r="E17" s="388" t="s">
        <v>358</v>
      </c>
      <c r="F17" s="389"/>
      <c r="G17" s="389"/>
      <c r="H17" s="389"/>
      <c r="I17" s="389"/>
      <c r="J17" s="390"/>
      <c r="K17" s="414">
        <v>4</v>
      </c>
      <c r="L17" s="415"/>
      <c r="M17" s="157"/>
      <c r="N17" s="158"/>
      <c r="Q17" s="77">
        <v>1900</v>
      </c>
      <c r="R17" s="77">
        <v>580.4</v>
      </c>
      <c r="S17" s="288">
        <v>108.5</v>
      </c>
      <c r="T17" s="152"/>
      <c r="U17" s="77"/>
      <c r="V17" s="153"/>
      <c r="W17" s="147"/>
    </row>
    <row r="18" spans="1:23" s="159" customFormat="1">
      <c r="A18" s="129">
        <f t="shared" si="0"/>
        <v>1935</v>
      </c>
      <c r="B18" s="77">
        <v>1970</v>
      </c>
      <c r="C18" s="134" t="s">
        <v>354</v>
      </c>
      <c r="D18" s="135" t="s">
        <v>320</v>
      </c>
      <c r="E18" s="388" t="s">
        <v>357</v>
      </c>
      <c r="F18" s="389"/>
      <c r="G18" s="389"/>
      <c r="H18" s="389"/>
      <c r="I18" s="389"/>
      <c r="J18" s="390"/>
      <c r="K18" s="391">
        <v>3</v>
      </c>
      <c r="L18" s="392"/>
      <c r="M18" s="157"/>
      <c r="N18" s="158"/>
      <c r="Q18" s="77">
        <v>2000</v>
      </c>
      <c r="R18" s="77">
        <v>580.9</v>
      </c>
      <c r="S18" s="288">
        <v>108</v>
      </c>
      <c r="T18" s="152"/>
      <c r="U18" s="77"/>
      <c r="V18" s="153"/>
      <c r="W18" s="147"/>
    </row>
    <row r="19" spans="1:23" s="159" customFormat="1">
      <c r="A19" s="129">
        <f t="shared" si="0"/>
        <v>1970</v>
      </c>
      <c r="B19" s="77">
        <v>2078</v>
      </c>
      <c r="C19" s="134" t="s">
        <v>345</v>
      </c>
      <c r="D19" s="135" t="s">
        <v>326</v>
      </c>
      <c r="E19" s="414" t="s">
        <v>359</v>
      </c>
      <c r="F19" s="415"/>
      <c r="G19" s="415"/>
      <c r="H19" s="415"/>
      <c r="I19" s="415"/>
      <c r="J19" s="416"/>
      <c r="K19" s="414">
        <v>4</v>
      </c>
      <c r="L19" s="415"/>
      <c r="M19" s="157"/>
      <c r="N19" s="158"/>
      <c r="Q19" s="77">
        <v>2100</v>
      </c>
      <c r="R19" s="77">
        <v>580.9</v>
      </c>
      <c r="S19" s="288">
        <v>108</v>
      </c>
      <c r="T19" s="152"/>
      <c r="U19" s="77"/>
      <c r="V19" s="153"/>
      <c r="W19" s="147"/>
    </row>
    <row r="20" spans="1:23" s="159" customFormat="1">
      <c r="A20" s="129">
        <f t="shared" si="0"/>
        <v>2078</v>
      </c>
      <c r="B20" s="77">
        <v>2105</v>
      </c>
      <c r="C20" s="134" t="s">
        <v>345</v>
      </c>
      <c r="D20" s="135" t="s">
        <v>320</v>
      </c>
      <c r="E20" s="388" t="s">
        <v>358</v>
      </c>
      <c r="F20" s="389"/>
      <c r="G20" s="389"/>
      <c r="H20" s="389"/>
      <c r="I20" s="389"/>
      <c r="J20" s="390"/>
      <c r="K20" s="391">
        <v>4</v>
      </c>
      <c r="L20" s="392"/>
      <c r="M20" s="157"/>
      <c r="N20" s="158"/>
      <c r="Q20" s="77">
        <v>2200</v>
      </c>
      <c r="R20" s="77">
        <v>580.9</v>
      </c>
      <c r="S20" s="288">
        <v>108</v>
      </c>
      <c r="T20" s="152"/>
      <c r="U20" s="77"/>
      <c r="V20" s="153"/>
      <c r="W20" s="147"/>
    </row>
    <row r="21" spans="1:23" s="159" customFormat="1">
      <c r="A21" s="129">
        <f t="shared" si="0"/>
        <v>2105</v>
      </c>
      <c r="B21" s="77">
        <v>2220</v>
      </c>
      <c r="C21" s="134" t="s">
        <v>325</v>
      </c>
      <c r="D21" s="135" t="s">
        <v>326</v>
      </c>
      <c r="E21" s="388" t="s">
        <v>360</v>
      </c>
      <c r="F21" s="389"/>
      <c r="G21" s="389"/>
      <c r="H21" s="389"/>
      <c r="I21" s="389"/>
      <c r="J21" s="390"/>
      <c r="K21" s="391">
        <v>4</v>
      </c>
      <c r="L21" s="392"/>
      <c r="M21" s="157"/>
      <c r="N21" s="158"/>
      <c r="Q21" s="77">
        <v>2274</v>
      </c>
      <c r="R21" s="77">
        <v>580.9</v>
      </c>
      <c r="S21" s="288">
        <v>108</v>
      </c>
      <c r="T21" s="152"/>
      <c r="U21" s="77"/>
      <c r="V21" s="153"/>
      <c r="W21" s="147"/>
    </row>
    <row r="22" spans="1:23" s="159" customFormat="1">
      <c r="A22" s="129">
        <f t="shared" si="0"/>
        <v>2220</v>
      </c>
      <c r="B22" s="77">
        <v>2273</v>
      </c>
      <c r="C22" s="134" t="s">
        <v>345</v>
      </c>
      <c r="D22" s="135" t="s">
        <v>320</v>
      </c>
      <c r="E22" s="388" t="s">
        <v>361</v>
      </c>
      <c r="F22" s="389"/>
      <c r="G22" s="389"/>
      <c r="H22" s="389"/>
      <c r="I22" s="389"/>
      <c r="J22" s="390"/>
      <c r="K22" s="391">
        <v>4</v>
      </c>
      <c r="L22" s="392"/>
      <c r="M22" s="157"/>
      <c r="N22" s="158"/>
      <c r="Q22" s="77"/>
      <c r="R22" s="77"/>
      <c r="S22" s="288"/>
      <c r="T22" s="152"/>
      <c r="U22" s="77"/>
      <c r="V22" s="153"/>
      <c r="W22" s="147"/>
    </row>
    <row r="23" spans="1:23" ht="13">
      <c r="A23" s="386" t="s">
        <v>97</v>
      </c>
      <c r="B23" s="387"/>
      <c r="C23" s="387"/>
      <c r="D23" s="387"/>
      <c r="E23" s="387"/>
      <c r="F23" s="387"/>
      <c r="G23" s="387"/>
      <c r="H23" s="387"/>
      <c r="I23" s="387"/>
      <c r="J23" s="387"/>
      <c r="K23" s="387"/>
      <c r="L23" s="387"/>
    </row>
    <row r="24" spans="1:23" ht="12.75" customHeight="1">
      <c r="A24" s="110">
        <v>5</v>
      </c>
      <c r="B24" s="383"/>
      <c r="C24" s="384"/>
      <c r="D24" s="384"/>
      <c r="E24" s="384"/>
      <c r="F24" s="384"/>
      <c r="G24" s="384"/>
      <c r="H24" s="384"/>
      <c r="I24" s="384"/>
      <c r="J24" s="384"/>
      <c r="K24" s="384"/>
      <c r="L24" s="385"/>
    </row>
    <row r="25" spans="1:23" ht="12.75" customHeight="1">
      <c r="A25" s="110">
        <v>4</v>
      </c>
      <c r="B25" s="383" t="s">
        <v>369</v>
      </c>
      <c r="C25" s="384"/>
      <c r="D25" s="384"/>
      <c r="E25" s="384"/>
      <c r="F25" s="384"/>
      <c r="G25" s="384"/>
      <c r="H25" s="384"/>
      <c r="I25" s="384"/>
      <c r="J25" s="384"/>
      <c r="K25" s="384"/>
      <c r="L25" s="385"/>
    </row>
    <row r="26" spans="1:23" ht="12.75" customHeight="1">
      <c r="A26" s="110">
        <v>3</v>
      </c>
      <c r="B26" s="383" t="s">
        <v>370</v>
      </c>
      <c r="C26" s="384"/>
      <c r="D26" s="384"/>
      <c r="E26" s="384"/>
      <c r="F26" s="384"/>
      <c r="G26" s="384"/>
      <c r="H26" s="384"/>
      <c r="I26" s="384"/>
      <c r="J26" s="384"/>
      <c r="K26" s="384"/>
      <c r="L26" s="385"/>
    </row>
    <row r="27" spans="1:23" ht="12.75" customHeight="1">
      <c r="A27" s="110">
        <v>2</v>
      </c>
      <c r="B27" s="383"/>
      <c r="C27" s="384"/>
      <c r="D27" s="384"/>
      <c r="E27" s="384"/>
      <c r="F27" s="384"/>
      <c r="G27" s="384"/>
      <c r="H27" s="384"/>
      <c r="I27" s="384"/>
      <c r="J27" s="384"/>
      <c r="K27" s="384"/>
      <c r="L27" s="385"/>
    </row>
    <row r="28" spans="1:23" ht="12.75" customHeight="1">
      <c r="A28" s="110">
        <v>1</v>
      </c>
      <c r="B28" s="383"/>
      <c r="C28" s="384"/>
      <c r="D28" s="384"/>
      <c r="E28" s="384"/>
      <c r="F28" s="384"/>
      <c r="G28" s="384"/>
      <c r="H28" s="384"/>
      <c r="I28" s="384"/>
      <c r="J28" s="384"/>
      <c r="K28" s="384"/>
      <c r="L28" s="385"/>
    </row>
    <row r="29" spans="1:23" ht="12.75" customHeight="1">
      <c r="A29" s="110">
        <v>0</v>
      </c>
      <c r="B29" s="383"/>
      <c r="C29" s="384"/>
      <c r="D29" s="384"/>
      <c r="E29" s="384"/>
      <c r="F29" s="384"/>
      <c r="G29" s="384"/>
      <c r="H29" s="384"/>
      <c r="I29" s="384"/>
      <c r="J29" s="384"/>
      <c r="K29" s="384"/>
      <c r="L29" s="385"/>
    </row>
    <row r="30" spans="1:23" ht="12.75" customHeight="1">
      <c r="A30" s="381"/>
      <c r="B30" s="382"/>
      <c r="C30" s="382"/>
      <c r="D30" s="382"/>
      <c r="E30" s="382"/>
      <c r="F30" s="382"/>
      <c r="G30" s="382"/>
      <c r="H30" s="382"/>
      <c r="I30" s="382"/>
      <c r="J30" s="382"/>
      <c r="K30" s="382"/>
      <c r="L30" s="382"/>
    </row>
    <row r="31" spans="1:23" ht="12.75" customHeight="1">
      <c r="A31" s="387" t="s">
        <v>161</v>
      </c>
      <c r="B31" s="387"/>
      <c r="C31" s="387"/>
      <c r="D31" s="387"/>
      <c r="E31" s="387"/>
      <c r="F31" s="387"/>
      <c r="G31" s="387"/>
      <c r="H31" s="387"/>
      <c r="I31" s="387"/>
      <c r="J31" s="387"/>
      <c r="K31" s="387"/>
      <c r="L31" s="387"/>
    </row>
    <row r="32" spans="1:23">
      <c r="A32" s="394"/>
      <c r="B32" s="394"/>
      <c r="C32" s="394"/>
      <c r="D32" s="394"/>
      <c r="E32" s="394"/>
      <c r="F32" s="394"/>
      <c r="G32" s="394"/>
      <c r="H32" s="394"/>
      <c r="I32" s="394"/>
      <c r="J32" s="394"/>
      <c r="K32" s="394"/>
      <c r="L32" s="394"/>
    </row>
    <row r="33" spans="1:12">
      <c r="A33" s="395"/>
      <c r="B33" s="395"/>
      <c r="C33" s="395"/>
      <c r="D33" s="395"/>
      <c r="E33" s="395"/>
      <c r="F33" s="395"/>
      <c r="G33" s="395"/>
      <c r="H33" s="395"/>
      <c r="I33" s="395"/>
      <c r="J33" s="395"/>
      <c r="K33" s="395"/>
      <c r="L33" s="395"/>
    </row>
    <row r="34" spans="1:12">
      <c r="A34" s="384"/>
      <c r="B34" s="384"/>
      <c r="C34" s="384"/>
      <c r="D34" s="384"/>
      <c r="E34" s="384"/>
      <c r="F34" s="384"/>
      <c r="G34" s="384"/>
      <c r="H34" s="384"/>
      <c r="I34" s="384"/>
      <c r="J34" s="384"/>
      <c r="K34" s="384"/>
      <c r="L34" s="384"/>
    </row>
    <row r="35" spans="1:12">
      <c r="A35" s="384"/>
      <c r="B35" s="384"/>
      <c r="C35" s="384"/>
      <c r="D35" s="384"/>
      <c r="E35" s="384"/>
      <c r="F35" s="384"/>
      <c r="G35" s="384"/>
      <c r="H35" s="384"/>
      <c r="I35" s="384"/>
      <c r="J35" s="384"/>
      <c r="K35" s="384"/>
      <c r="L35" s="384"/>
    </row>
    <row r="36" spans="1:12">
      <c r="A36" s="384"/>
      <c r="B36" s="384"/>
      <c r="C36" s="384"/>
      <c r="D36" s="384"/>
      <c r="E36" s="384"/>
      <c r="F36" s="384"/>
      <c r="G36" s="384"/>
      <c r="H36" s="384"/>
      <c r="I36" s="384"/>
      <c r="J36" s="384"/>
      <c r="K36" s="384"/>
      <c r="L36" s="384"/>
    </row>
    <row r="37" spans="1:12">
      <c r="A37" s="384"/>
      <c r="B37" s="384"/>
      <c r="C37" s="384"/>
      <c r="D37" s="384"/>
      <c r="E37" s="384"/>
      <c r="F37" s="384"/>
      <c r="G37" s="384"/>
      <c r="H37" s="384"/>
      <c r="I37" s="384"/>
      <c r="J37" s="384"/>
      <c r="K37" s="384"/>
      <c r="L37" s="384"/>
    </row>
    <row r="38" spans="1:12">
      <c r="A38" s="393"/>
      <c r="B38" s="393"/>
      <c r="C38" s="393"/>
      <c r="D38" s="393"/>
      <c r="E38" s="393"/>
      <c r="F38" s="393"/>
      <c r="G38" s="393"/>
      <c r="H38" s="393"/>
      <c r="I38" s="393"/>
      <c r="J38" s="393"/>
      <c r="K38" s="393"/>
      <c r="L38" s="393"/>
    </row>
  </sheetData>
  <sheetProtection formatCells="0"/>
  <mergeCells count="60">
    <mergeCell ref="A37:L37"/>
    <mergeCell ref="A38:L38"/>
    <mergeCell ref="A31:L31"/>
    <mergeCell ref="A32:L32"/>
    <mergeCell ref="A33:L33"/>
    <mergeCell ref="A34:L34"/>
    <mergeCell ref="A35:L35"/>
    <mergeCell ref="A36:L36"/>
    <mergeCell ref="Q5:S5"/>
    <mergeCell ref="A30:L30"/>
    <mergeCell ref="A23:L23"/>
    <mergeCell ref="B24:L24"/>
    <mergeCell ref="B25:L25"/>
    <mergeCell ref="B26:L26"/>
    <mergeCell ref="B27:L27"/>
    <mergeCell ref="B28:L28"/>
    <mergeCell ref="B29:L29"/>
    <mergeCell ref="K13:L13"/>
    <mergeCell ref="E14:J14"/>
    <mergeCell ref="K14:L14"/>
    <mergeCell ref="E15:J15"/>
    <mergeCell ref="K15:L15"/>
    <mergeCell ref="E16:J16"/>
    <mergeCell ref="K16:L16"/>
    <mergeCell ref="T5:V5"/>
    <mergeCell ref="E6:J6"/>
    <mergeCell ref="K6:L6"/>
    <mergeCell ref="E18:J18"/>
    <mergeCell ref="K18:L18"/>
    <mergeCell ref="E8:J8"/>
    <mergeCell ref="K8:L8"/>
    <mergeCell ref="E12:J12"/>
    <mergeCell ref="K12:L12"/>
    <mergeCell ref="E13:J13"/>
    <mergeCell ref="E11:J11"/>
    <mergeCell ref="K11:L11"/>
    <mergeCell ref="E9:J9"/>
    <mergeCell ref="K9:L9"/>
    <mergeCell ref="E10:J10"/>
    <mergeCell ref="K10:L10"/>
    <mergeCell ref="A1:L1"/>
    <mergeCell ref="A2:L2"/>
    <mergeCell ref="A3:L3"/>
    <mergeCell ref="A4:L4"/>
    <mergeCell ref="E7:J7"/>
    <mergeCell ref="K7:L7"/>
    <mergeCell ref="A5:B5"/>
    <mergeCell ref="C5:D5"/>
    <mergeCell ref="E5:J5"/>
    <mergeCell ref="K5:L5"/>
    <mergeCell ref="E21:J21"/>
    <mergeCell ref="K21:L21"/>
    <mergeCell ref="E22:J22"/>
    <mergeCell ref="K22:L22"/>
    <mergeCell ref="E17:J17"/>
    <mergeCell ref="K17:L17"/>
    <mergeCell ref="E19:J19"/>
    <mergeCell ref="K19:L19"/>
    <mergeCell ref="E20:J20"/>
    <mergeCell ref="K20:L20"/>
  </mergeCells>
  <conditionalFormatting sqref="A24:A29">
    <cfRule type="containsText" dxfId="900" priority="1033" stopIfTrue="1" operator="containsText" text="0">
      <formula>NOT(ISERROR(SEARCH("0",A24)))</formula>
    </cfRule>
    <cfRule type="containsText" dxfId="899" priority="1034" stopIfTrue="1" operator="containsText" text="1">
      <formula>NOT(ISERROR(SEARCH("1",A24)))</formula>
    </cfRule>
    <cfRule type="containsText" dxfId="898" priority="1035" stopIfTrue="1" operator="containsText" text="2">
      <formula>NOT(ISERROR(SEARCH("2",A24)))</formula>
    </cfRule>
    <cfRule type="containsText" dxfId="897" priority="1036" stopIfTrue="1" operator="containsText" text="3">
      <formula>NOT(ISERROR(SEARCH("3",A24)))</formula>
    </cfRule>
    <cfRule type="containsText" dxfId="896" priority="1037" stopIfTrue="1" operator="containsText" text="4">
      <formula>NOT(ISERROR(SEARCH("4",A24)))</formula>
    </cfRule>
    <cfRule type="containsText" dxfId="895" priority="1038" stopIfTrue="1" operator="containsText" text="5">
      <formula>NOT(ISERROR(SEARCH("5",A24)))</formula>
    </cfRule>
  </conditionalFormatting>
  <conditionalFormatting sqref="K20:L20">
    <cfRule type="containsText" dxfId="894" priority="295" stopIfTrue="1" operator="containsText" text="0">
      <formula>NOT(ISERROR(SEARCH("0",K20)))</formula>
    </cfRule>
    <cfRule type="containsText" dxfId="893" priority="296" stopIfTrue="1" operator="containsText" text="1">
      <formula>NOT(ISERROR(SEARCH("1",K20)))</formula>
    </cfRule>
    <cfRule type="containsText" dxfId="892" priority="297" stopIfTrue="1" operator="containsText" text="2">
      <formula>NOT(ISERROR(SEARCH("2",K20)))</formula>
    </cfRule>
    <cfRule type="containsText" dxfId="891" priority="298" stopIfTrue="1" operator="containsText" text="3">
      <formula>NOT(ISERROR(SEARCH("3",K20)))</formula>
    </cfRule>
    <cfRule type="containsText" dxfId="890" priority="299" stopIfTrue="1" operator="containsText" text="4">
      <formula>NOT(ISERROR(SEARCH("4",K20)))</formula>
    </cfRule>
    <cfRule type="containsText" dxfId="889" priority="300" stopIfTrue="1" operator="containsText" text="5">
      <formula>NOT(ISERROR(SEARCH("5",K20)))</formula>
    </cfRule>
  </conditionalFormatting>
  <conditionalFormatting sqref="K21:L21">
    <cfRule type="containsText" dxfId="888" priority="289" stopIfTrue="1" operator="containsText" text="0">
      <formula>NOT(ISERROR(SEARCH("0",K21)))</formula>
    </cfRule>
    <cfRule type="containsText" dxfId="887" priority="290" stopIfTrue="1" operator="containsText" text="1">
      <formula>NOT(ISERROR(SEARCH("1",K21)))</formula>
    </cfRule>
    <cfRule type="containsText" dxfId="886" priority="291" stopIfTrue="1" operator="containsText" text="2">
      <formula>NOT(ISERROR(SEARCH("2",K21)))</formula>
    </cfRule>
    <cfRule type="containsText" dxfId="885" priority="292" stopIfTrue="1" operator="containsText" text="3">
      <formula>NOT(ISERROR(SEARCH("3",K21)))</formula>
    </cfRule>
    <cfRule type="containsText" dxfId="884" priority="293" stopIfTrue="1" operator="containsText" text="4">
      <formula>NOT(ISERROR(SEARCH("4",K21)))</formula>
    </cfRule>
    <cfRule type="containsText" dxfId="883" priority="294" stopIfTrue="1" operator="containsText" text="5">
      <formula>NOT(ISERROR(SEARCH("5",K21)))</formula>
    </cfRule>
  </conditionalFormatting>
  <conditionalFormatting sqref="K22:L22">
    <cfRule type="containsText" dxfId="882" priority="283" stopIfTrue="1" operator="containsText" text="0">
      <formula>NOT(ISERROR(SEARCH("0",K22)))</formula>
    </cfRule>
    <cfRule type="containsText" dxfId="881" priority="284" stopIfTrue="1" operator="containsText" text="1">
      <formula>NOT(ISERROR(SEARCH("1",K22)))</formula>
    </cfRule>
    <cfRule type="containsText" dxfId="880" priority="285" stopIfTrue="1" operator="containsText" text="2">
      <formula>NOT(ISERROR(SEARCH("2",K22)))</formula>
    </cfRule>
    <cfRule type="containsText" dxfId="879" priority="286" stopIfTrue="1" operator="containsText" text="3">
      <formula>NOT(ISERROR(SEARCH("3",K22)))</formula>
    </cfRule>
    <cfRule type="containsText" dxfId="878" priority="287" stopIfTrue="1" operator="containsText" text="4">
      <formula>NOT(ISERROR(SEARCH("4",K22)))</formula>
    </cfRule>
    <cfRule type="containsText" dxfId="877" priority="288" stopIfTrue="1" operator="containsText" text="5">
      <formula>NOT(ISERROR(SEARCH("5",K22)))</formula>
    </cfRule>
  </conditionalFormatting>
  <conditionalFormatting sqref="K8:L8">
    <cfRule type="containsText" dxfId="876" priority="193" stopIfTrue="1" operator="containsText" text="0">
      <formula>NOT(ISERROR(SEARCH("0",K8)))</formula>
    </cfRule>
    <cfRule type="containsText" dxfId="875" priority="194" stopIfTrue="1" operator="containsText" text="1">
      <formula>NOT(ISERROR(SEARCH("1",K8)))</formula>
    </cfRule>
    <cfRule type="containsText" dxfId="874" priority="195" stopIfTrue="1" operator="containsText" text="2">
      <formula>NOT(ISERROR(SEARCH("2",K8)))</formula>
    </cfRule>
    <cfRule type="containsText" dxfId="873" priority="196" stopIfTrue="1" operator="containsText" text="3">
      <formula>NOT(ISERROR(SEARCH("3",K8)))</formula>
    </cfRule>
    <cfRule type="containsText" dxfId="872" priority="197" stopIfTrue="1" operator="containsText" text="4">
      <formula>NOT(ISERROR(SEARCH("4",K8)))</formula>
    </cfRule>
    <cfRule type="containsText" dxfId="871" priority="198" stopIfTrue="1" operator="containsText" text="5">
      <formula>NOT(ISERROR(SEARCH("5",K8)))</formula>
    </cfRule>
  </conditionalFormatting>
  <conditionalFormatting sqref="K10:L10">
    <cfRule type="containsText" dxfId="870" priority="187" stopIfTrue="1" operator="containsText" text="0">
      <formula>NOT(ISERROR(SEARCH("0",K10)))</formula>
    </cfRule>
    <cfRule type="containsText" dxfId="869" priority="188" stopIfTrue="1" operator="containsText" text="1">
      <formula>NOT(ISERROR(SEARCH("1",K10)))</formula>
    </cfRule>
    <cfRule type="containsText" dxfId="868" priority="189" stopIfTrue="1" operator="containsText" text="2">
      <formula>NOT(ISERROR(SEARCH("2",K10)))</formula>
    </cfRule>
    <cfRule type="containsText" dxfId="867" priority="190" stopIfTrue="1" operator="containsText" text="3">
      <formula>NOT(ISERROR(SEARCH("3",K10)))</formula>
    </cfRule>
    <cfRule type="containsText" dxfId="866" priority="191" stopIfTrue="1" operator="containsText" text="4">
      <formula>NOT(ISERROR(SEARCH("4",K10)))</formula>
    </cfRule>
    <cfRule type="containsText" dxfId="865" priority="192" stopIfTrue="1" operator="containsText" text="5">
      <formula>NOT(ISERROR(SEARCH("5",K10)))</formula>
    </cfRule>
  </conditionalFormatting>
  <conditionalFormatting sqref="K15:L15">
    <cfRule type="containsText" dxfId="864" priority="157" stopIfTrue="1" operator="containsText" text="0">
      <formula>NOT(ISERROR(SEARCH("0",K15)))</formula>
    </cfRule>
    <cfRule type="containsText" dxfId="863" priority="158" stopIfTrue="1" operator="containsText" text="1">
      <formula>NOT(ISERROR(SEARCH("1",K15)))</formula>
    </cfRule>
    <cfRule type="containsText" dxfId="862" priority="159" stopIfTrue="1" operator="containsText" text="2">
      <formula>NOT(ISERROR(SEARCH("2",K15)))</formula>
    </cfRule>
    <cfRule type="containsText" dxfId="861" priority="160" stopIfTrue="1" operator="containsText" text="3">
      <formula>NOT(ISERROR(SEARCH("3",K15)))</formula>
    </cfRule>
    <cfRule type="containsText" dxfId="860" priority="161" stopIfTrue="1" operator="containsText" text="4">
      <formula>NOT(ISERROR(SEARCH("4",K15)))</formula>
    </cfRule>
    <cfRule type="containsText" dxfId="859" priority="162" stopIfTrue="1" operator="containsText" text="5">
      <formula>NOT(ISERROR(SEARCH("5",K15)))</formula>
    </cfRule>
  </conditionalFormatting>
  <conditionalFormatting sqref="K16:L16">
    <cfRule type="containsText" dxfId="858" priority="151" stopIfTrue="1" operator="containsText" text="0">
      <formula>NOT(ISERROR(SEARCH("0",K16)))</formula>
    </cfRule>
    <cfRule type="containsText" dxfId="857" priority="152" stopIfTrue="1" operator="containsText" text="1">
      <formula>NOT(ISERROR(SEARCH("1",K16)))</formula>
    </cfRule>
    <cfRule type="containsText" dxfId="856" priority="153" stopIfTrue="1" operator="containsText" text="2">
      <formula>NOT(ISERROR(SEARCH("2",K16)))</formula>
    </cfRule>
    <cfRule type="containsText" dxfId="855" priority="154" stopIfTrue="1" operator="containsText" text="3">
      <formula>NOT(ISERROR(SEARCH("3",K16)))</formula>
    </cfRule>
    <cfRule type="containsText" dxfId="854" priority="155" stopIfTrue="1" operator="containsText" text="4">
      <formula>NOT(ISERROR(SEARCH("4",K16)))</formula>
    </cfRule>
    <cfRule type="containsText" dxfId="853" priority="156" stopIfTrue="1" operator="containsText" text="5">
      <formula>NOT(ISERROR(SEARCH("5",K16)))</formula>
    </cfRule>
  </conditionalFormatting>
  <conditionalFormatting sqref="K17:L17">
    <cfRule type="containsText" dxfId="852" priority="145" stopIfTrue="1" operator="containsText" text="0">
      <formula>NOT(ISERROR(SEARCH("0",K17)))</formula>
    </cfRule>
    <cfRule type="containsText" dxfId="851" priority="146" stopIfTrue="1" operator="containsText" text="1">
      <formula>NOT(ISERROR(SEARCH("1",K17)))</formula>
    </cfRule>
    <cfRule type="containsText" dxfId="850" priority="147" stopIfTrue="1" operator="containsText" text="2">
      <formula>NOT(ISERROR(SEARCH("2",K17)))</formula>
    </cfRule>
    <cfRule type="containsText" dxfId="849" priority="148" stopIfTrue="1" operator="containsText" text="3">
      <formula>NOT(ISERROR(SEARCH("3",K17)))</formula>
    </cfRule>
    <cfRule type="containsText" dxfId="848" priority="149" stopIfTrue="1" operator="containsText" text="4">
      <formula>NOT(ISERROR(SEARCH("4",K17)))</formula>
    </cfRule>
    <cfRule type="containsText" dxfId="847" priority="150" stopIfTrue="1" operator="containsText" text="5">
      <formula>NOT(ISERROR(SEARCH("5",K17)))</formula>
    </cfRule>
  </conditionalFormatting>
  <conditionalFormatting sqref="K18:L18">
    <cfRule type="containsText" dxfId="846" priority="139" stopIfTrue="1" operator="containsText" text="0">
      <formula>NOT(ISERROR(SEARCH("0",K18)))</formula>
    </cfRule>
    <cfRule type="containsText" dxfId="845" priority="140" stopIfTrue="1" operator="containsText" text="1">
      <formula>NOT(ISERROR(SEARCH("1",K18)))</formula>
    </cfRule>
    <cfRule type="containsText" dxfId="844" priority="141" stopIfTrue="1" operator="containsText" text="2">
      <formula>NOT(ISERROR(SEARCH("2",K18)))</formula>
    </cfRule>
    <cfRule type="containsText" dxfId="843" priority="142" stopIfTrue="1" operator="containsText" text="3">
      <formula>NOT(ISERROR(SEARCH("3",K18)))</formula>
    </cfRule>
    <cfRule type="containsText" dxfId="842" priority="143" stopIfTrue="1" operator="containsText" text="4">
      <formula>NOT(ISERROR(SEARCH("4",K18)))</formula>
    </cfRule>
    <cfRule type="containsText" dxfId="841" priority="144" stopIfTrue="1" operator="containsText" text="5">
      <formula>NOT(ISERROR(SEARCH("5",K18)))</formula>
    </cfRule>
  </conditionalFormatting>
  <conditionalFormatting sqref="K19:L19">
    <cfRule type="containsText" dxfId="840" priority="133" stopIfTrue="1" operator="containsText" text="0">
      <formula>NOT(ISERROR(SEARCH("0",K19)))</formula>
    </cfRule>
    <cfRule type="containsText" dxfId="839" priority="134" stopIfTrue="1" operator="containsText" text="1">
      <formula>NOT(ISERROR(SEARCH("1",K19)))</formula>
    </cfRule>
    <cfRule type="containsText" dxfId="838" priority="135" stopIfTrue="1" operator="containsText" text="2">
      <formula>NOT(ISERROR(SEARCH("2",K19)))</formula>
    </cfRule>
    <cfRule type="containsText" dxfId="837" priority="136" stopIfTrue="1" operator="containsText" text="3">
      <formula>NOT(ISERROR(SEARCH("3",K19)))</formula>
    </cfRule>
    <cfRule type="containsText" dxfId="836" priority="137" stopIfTrue="1" operator="containsText" text="4">
      <formula>NOT(ISERROR(SEARCH("4",K19)))</formula>
    </cfRule>
    <cfRule type="containsText" dxfId="835" priority="138" stopIfTrue="1" operator="containsText" text="5">
      <formula>NOT(ISERROR(SEARCH("5",K19)))</formula>
    </cfRule>
  </conditionalFormatting>
  <conditionalFormatting sqref="K7:L7">
    <cfRule type="containsText" dxfId="834" priority="31" stopIfTrue="1" operator="containsText" text="0">
      <formula>NOT(ISERROR(SEARCH("0",K7)))</formula>
    </cfRule>
    <cfRule type="containsText" dxfId="833" priority="32" stopIfTrue="1" operator="containsText" text="1">
      <formula>NOT(ISERROR(SEARCH("1",K7)))</formula>
    </cfRule>
    <cfRule type="containsText" dxfId="832" priority="33" stopIfTrue="1" operator="containsText" text="2">
      <formula>NOT(ISERROR(SEARCH("2",K7)))</formula>
    </cfRule>
    <cfRule type="containsText" dxfId="831" priority="34" stopIfTrue="1" operator="containsText" text="3">
      <formula>NOT(ISERROR(SEARCH("3",K7)))</formula>
    </cfRule>
    <cfRule type="containsText" dxfId="830" priority="35" stopIfTrue="1" operator="containsText" text="4">
      <formula>NOT(ISERROR(SEARCH("4",K7)))</formula>
    </cfRule>
    <cfRule type="containsText" dxfId="829" priority="36" stopIfTrue="1" operator="containsText" text="5">
      <formula>NOT(ISERROR(SEARCH("5",K7)))</formula>
    </cfRule>
  </conditionalFormatting>
  <conditionalFormatting sqref="K9:L9">
    <cfRule type="containsText" dxfId="828" priority="25" stopIfTrue="1" operator="containsText" text="0">
      <formula>NOT(ISERROR(SEARCH("0",K9)))</formula>
    </cfRule>
    <cfRule type="containsText" dxfId="827" priority="26" stopIfTrue="1" operator="containsText" text="1">
      <formula>NOT(ISERROR(SEARCH("1",K9)))</formula>
    </cfRule>
    <cfRule type="containsText" dxfId="826" priority="27" stopIfTrue="1" operator="containsText" text="2">
      <formula>NOT(ISERROR(SEARCH("2",K9)))</formula>
    </cfRule>
    <cfRule type="containsText" dxfId="825" priority="28" stopIfTrue="1" operator="containsText" text="3">
      <formula>NOT(ISERROR(SEARCH("3",K9)))</formula>
    </cfRule>
    <cfRule type="containsText" dxfId="824" priority="29" stopIfTrue="1" operator="containsText" text="4">
      <formula>NOT(ISERROR(SEARCH("4",K9)))</formula>
    </cfRule>
    <cfRule type="containsText" dxfId="823" priority="30" stopIfTrue="1" operator="containsText" text="5">
      <formula>NOT(ISERROR(SEARCH("5",K9)))</formula>
    </cfRule>
  </conditionalFormatting>
  <conditionalFormatting sqref="K11:L11">
    <cfRule type="containsText" dxfId="822" priority="19" stopIfTrue="1" operator="containsText" text="0">
      <formula>NOT(ISERROR(SEARCH("0",K11)))</formula>
    </cfRule>
    <cfRule type="containsText" dxfId="821" priority="20" stopIfTrue="1" operator="containsText" text="1">
      <formula>NOT(ISERROR(SEARCH("1",K11)))</formula>
    </cfRule>
    <cfRule type="containsText" dxfId="820" priority="21" stopIfTrue="1" operator="containsText" text="2">
      <formula>NOT(ISERROR(SEARCH("2",K11)))</formula>
    </cfRule>
    <cfRule type="containsText" dxfId="819" priority="22" stopIfTrue="1" operator="containsText" text="3">
      <formula>NOT(ISERROR(SEARCH("3",K11)))</formula>
    </cfRule>
    <cfRule type="containsText" dxfId="818" priority="23" stopIfTrue="1" operator="containsText" text="4">
      <formula>NOT(ISERROR(SEARCH("4",K11)))</formula>
    </cfRule>
    <cfRule type="containsText" dxfId="817" priority="24" stopIfTrue="1" operator="containsText" text="5">
      <formula>NOT(ISERROR(SEARCH("5",K11)))</formula>
    </cfRule>
  </conditionalFormatting>
  <conditionalFormatting sqref="K12:L12">
    <cfRule type="containsText" dxfId="816" priority="13" stopIfTrue="1" operator="containsText" text="0">
      <formula>NOT(ISERROR(SEARCH("0",K12)))</formula>
    </cfRule>
    <cfRule type="containsText" dxfId="815" priority="14" stopIfTrue="1" operator="containsText" text="1">
      <formula>NOT(ISERROR(SEARCH("1",K12)))</formula>
    </cfRule>
    <cfRule type="containsText" dxfId="814" priority="15" stopIfTrue="1" operator="containsText" text="2">
      <formula>NOT(ISERROR(SEARCH("2",K12)))</formula>
    </cfRule>
    <cfRule type="containsText" dxfId="813" priority="16" stopIfTrue="1" operator="containsText" text="3">
      <formula>NOT(ISERROR(SEARCH("3",K12)))</formula>
    </cfRule>
    <cfRule type="containsText" dxfId="812" priority="17" stopIfTrue="1" operator="containsText" text="4">
      <formula>NOT(ISERROR(SEARCH("4",K12)))</formula>
    </cfRule>
    <cfRule type="containsText" dxfId="811" priority="18" stopIfTrue="1" operator="containsText" text="5">
      <formula>NOT(ISERROR(SEARCH("5",K12)))</formula>
    </cfRule>
  </conditionalFormatting>
  <conditionalFormatting sqref="K13:L13">
    <cfRule type="containsText" dxfId="810" priority="7" stopIfTrue="1" operator="containsText" text="0">
      <formula>NOT(ISERROR(SEARCH("0",K13)))</formula>
    </cfRule>
    <cfRule type="containsText" dxfId="809" priority="8" stopIfTrue="1" operator="containsText" text="1">
      <formula>NOT(ISERROR(SEARCH("1",K13)))</formula>
    </cfRule>
    <cfRule type="containsText" dxfId="808" priority="9" stopIfTrue="1" operator="containsText" text="2">
      <formula>NOT(ISERROR(SEARCH("2",K13)))</formula>
    </cfRule>
    <cfRule type="containsText" dxfId="807" priority="10" stopIfTrue="1" operator="containsText" text="3">
      <formula>NOT(ISERROR(SEARCH("3",K13)))</formula>
    </cfRule>
    <cfRule type="containsText" dxfId="806" priority="11" stopIfTrue="1" operator="containsText" text="4">
      <formula>NOT(ISERROR(SEARCH("4",K13)))</formula>
    </cfRule>
    <cfRule type="containsText" dxfId="805" priority="12" stopIfTrue="1" operator="containsText" text="5">
      <formula>NOT(ISERROR(SEARCH("5",K13)))</formula>
    </cfRule>
  </conditionalFormatting>
  <conditionalFormatting sqref="K14:L14">
    <cfRule type="containsText" dxfId="804" priority="1" stopIfTrue="1" operator="containsText" text="0">
      <formula>NOT(ISERROR(SEARCH("0",K14)))</formula>
    </cfRule>
    <cfRule type="containsText" dxfId="803" priority="2" stopIfTrue="1" operator="containsText" text="1">
      <formula>NOT(ISERROR(SEARCH("1",K14)))</formula>
    </cfRule>
    <cfRule type="containsText" dxfId="802" priority="3" stopIfTrue="1" operator="containsText" text="2">
      <formula>NOT(ISERROR(SEARCH("2",K14)))</formula>
    </cfRule>
    <cfRule type="containsText" dxfId="801" priority="4" stopIfTrue="1" operator="containsText" text="3">
      <formula>NOT(ISERROR(SEARCH("3",K14)))</formula>
    </cfRule>
    <cfRule type="containsText" dxfId="800" priority="5" stopIfTrue="1" operator="containsText" text="4">
      <formula>NOT(ISERROR(SEARCH("4",K14)))</formula>
    </cfRule>
    <cfRule type="containsText" dxfId="799" priority="6" stopIfTrue="1" operator="containsText" text="5">
      <formula>NOT(ISERROR(SEARCH("5",K14)))</formula>
    </cfRule>
  </conditionalFormatting>
  <printOptions horizontalCentered="1"/>
  <pageMargins left="0.7" right="0.7" top="0.75" bottom="0.75" header="0.3" footer="0.3"/>
  <pageSetup scale="9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AddTargetLateral">
                <anchor moveWithCells="1" sizeWithCells="1">
                  <from>
                    <xdr:col>12</xdr:col>
                    <xdr:colOff>57150</xdr:colOff>
                    <xdr:row>4</xdr:row>
                    <xdr:rowOff>0</xdr:rowOff>
                  </from>
                  <to>
                    <xdr:col>15</xdr:col>
                    <xdr:colOff>514350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print="0" autoFill="0" autoPict="0" macro="[0]!AddrowTL">
                <anchor moveWithCells="1" sizeWithCells="1">
                  <from>
                    <xdr:col>12</xdr:col>
                    <xdr:colOff>50800</xdr:colOff>
                    <xdr:row>0</xdr:row>
                    <xdr:rowOff>50800</xdr:rowOff>
                  </from>
                  <to>
                    <xdr:col>15</xdr:col>
                    <xdr:colOff>508000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print="0" autoFill="0" autoPict="0" macro="[0]!DeleteRowTL">
                <anchor moveWithCells="1" sizeWithCells="1">
                  <from>
                    <xdr:col>12</xdr:col>
                    <xdr:colOff>57150</xdr:colOff>
                    <xdr:row>1</xdr:row>
                    <xdr:rowOff>152400</xdr:rowOff>
                  </from>
                  <to>
                    <xdr:col>15</xdr:col>
                    <xdr:colOff>514350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pageSetUpPr fitToPage="1"/>
  </sheetPr>
  <dimension ref="A1:Y48"/>
  <sheetViews>
    <sheetView topLeftCell="A12" zoomScaleNormal="100" workbookViewId="0">
      <selection activeCell="C12" sqref="C12:L12"/>
    </sheetView>
  </sheetViews>
  <sheetFormatPr defaultRowHeight="12.5"/>
  <cols>
    <col min="1" max="1" width="7.453125" customWidth="1"/>
    <col min="2" max="2" width="8.54296875" customWidth="1"/>
    <col min="3" max="12" width="7.453125" customWidth="1"/>
    <col min="13" max="13" width="9.1796875" style="23"/>
    <col min="17" max="22" width="15.7265625" customWidth="1"/>
  </cols>
  <sheetData>
    <row r="1" spans="1:25" s="15" customFormat="1" ht="23">
      <c r="A1" s="350" t="s">
        <v>105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160"/>
      <c r="N1" s="161"/>
      <c r="O1" s="161"/>
      <c r="P1" s="161"/>
      <c r="Q1"/>
      <c r="R1" s="127" t="s">
        <v>128</v>
      </c>
      <c r="S1" s="127"/>
      <c r="T1" s="127"/>
      <c r="U1"/>
      <c r="W1"/>
      <c r="X1"/>
      <c r="Y1"/>
    </row>
    <row r="2" spans="1:25" ht="14.5">
      <c r="A2" s="412"/>
      <c r="B2" s="412"/>
      <c r="C2" s="412"/>
      <c r="D2" s="412"/>
      <c r="E2" s="412"/>
      <c r="F2" s="412"/>
      <c r="G2" s="412"/>
      <c r="H2" s="412"/>
      <c r="I2" s="412"/>
      <c r="J2" s="412"/>
      <c r="K2" s="412"/>
      <c r="L2" s="412"/>
      <c r="M2" s="162"/>
      <c r="N2" s="127"/>
      <c r="O2" s="127"/>
      <c r="P2" s="127"/>
      <c r="Q2" s="149" t="s">
        <v>126</v>
      </c>
      <c r="R2" s="126" t="s">
        <v>124</v>
      </c>
    </row>
    <row r="3" spans="1:25" ht="14.5">
      <c r="A3" s="413" t="s">
        <v>101</v>
      </c>
      <c r="B3" s="413"/>
      <c r="C3" s="413"/>
      <c r="D3" s="413"/>
      <c r="E3" s="413"/>
      <c r="F3" s="413"/>
      <c r="G3" s="413"/>
      <c r="H3" s="413"/>
      <c r="I3" s="413"/>
      <c r="J3" s="413"/>
      <c r="K3" s="413"/>
      <c r="L3" s="413"/>
      <c r="M3" s="162"/>
      <c r="N3" s="127"/>
      <c r="O3" s="127"/>
      <c r="P3" s="127"/>
      <c r="Q3" s="149" t="s">
        <v>127</v>
      </c>
      <c r="R3" s="126" t="s">
        <v>125</v>
      </c>
    </row>
    <row r="4" spans="1:25">
      <c r="A4" s="412"/>
      <c r="B4" s="412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162"/>
      <c r="N4" s="127"/>
      <c r="O4" s="127"/>
      <c r="P4" s="127"/>
    </row>
    <row r="5" spans="1:25" ht="23">
      <c r="A5" s="400" t="s">
        <v>162</v>
      </c>
      <c r="B5" s="400"/>
      <c r="C5" s="400"/>
      <c r="D5" s="400"/>
      <c r="E5" s="400"/>
      <c r="F5" s="400"/>
      <c r="G5" s="400"/>
      <c r="H5" s="400"/>
      <c r="I5" s="400"/>
      <c r="J5" s="400"/>
      <c r="K5" s="400"/>
      <c r="L5" s="400"/>
    </row>
    <row r="6" spans="1:25" ht="17.25" customHeight="1">
      <c r="A6" s="386" t="s">
        <v>85</v>
      </c>
      <c r="B6" s="386"/>
      <c r="C6" s="386"/>
      <c r="D6" s="386"/>
      <c r="E6" s="386"/>
      <c r="F6" s="386"/>
      <c r="G6" s="386"/>
      <c r="H6" s="386"/>
      <c r="I6" s="386"/>
      <c r="J6" s="386"/>
      <c r="K6" s="386"/>
      <c r="L6" s="386"/>
      <c r="Q6" s="396" t="s">
        <v>151</v>
      </c>
      <c r="R6" s="396"/>
      <c r="S6" s="396"/>
      <c r="T6" s="396"/>
      <c r="U6" s="396"/>
      <c r="V6" s="396"/>
    </row>
    <row r="7" spans="1:25" ht="13.15" customHeight="1">
      <c r="A7" s="401" t="s">
        <v>86</v>
      </c>
      <c r="B7" s="402"/>
      <c r="C7" s="403" t="s">
        <v>87</v>
      </c>
      <c r="D7" s="402"/>
      <c r="E7" s="404"/>
      <c r="F7" s="405"/>
      <c r="G7" s="405"/>
      <c r="H7" s="405"/>
      <c r="I7" s="405"/>
      <c r="J7" s="406"/>
      <c r="K7" s="407" t="s">
        <v>107</v>
      </c>
      <c r="L7" s="408"/>
      <c r="Q7" s="397" t="s">
        <v>152</v>
      </c>
      <c r="R7" s="397"/>
      <c r="S7" s="398"/>
      <c r="T7" s="399" t="s">
        <v>153</v>
      </c>
      <c r="U7" s="397"/>
      <c r="V7" s="398"/>
    </row>
    <row r="8" spans="1:25" ht="13">
      <c r="A8" s="164" t="s">
        <v>46</v>
      </c>
      <c r="B8" s="108" t="s">
        <v>47</v>
      </c>
      <c r="C8" s="108" t="s">
        <v>88</v>
      </c>
      <c r="D8" s="109" t="s">
        <v>89</v>
      </c>
      <c r="E8" s="409" t="s">
        <v>90</v>
      </c>
      <c r="F8" s="410"/>
      <c r="G8" s="410"/>
      <c r="H8" s="410"/>
      <c r="I8" s="410"/>
      <c r="J8" s="411"/>
      <c r="K8" s="410" t="s">
        <v>91</v>
      </c>
      <c r="L8" s="410"/>
      <c r="Q8" s="144" t="s">
        <v>154</v>
      </c>
      <c r="R8" s="145" t="s">
        <v>155</v>
      </c>
      <c r="S8" s="151" t="s">
        <v>156</v>
      </c>
      <c r="T8" s="151" t="s">
        <v>154</v>
      </c>
      <c r="U8" s="146" t="s">
        <v>155</v>
      </c>
      <c r="V8" s="150" t="s">
        <v>156</v>
      </c>
    </row>
    <row r="9" spans="1:25" ht="12.75" customHeight="1">
      <c r="A9" s="129">
        <v>890</v>
      </c>
      <c r="B9" s="77">
        <v>970</v>
      </c>
      <c r="C9" s="134" t="s">
        <v>330</v>
      </c>
      <c r="D9" s="135" t="s">
        <v>326</v>
      </c>
      <c r="E9" s="388" t="s">
        <v>331</v>
      </c>
      <c r="F9" s="389"/>
      <c r="G9" s="389"/>
      <c r="H9" s="389"/>
      <c r="I9" s="389"/>
      <c r="J9" s="390"/>
      <c r="K9" s="391">
        <v>4</v>
      </c>
      <c r="L9" s="392"/>
      <c r="N9" s="133"/>
      <c r="Q9" s="300">
        <v>890</v>
      </c>
      <c r="R9" s="77">
        <v>577.19999999999993</v>
      </c>
      <c r="S9" s="300">
        <v>111.7</v>
      </c>
      <c r="T9" s="301"/>
      <c r="U9" s="77"/>
      <c r="V9" s="300"/>
      <c r="W9" s="147"/>
    </row>
    <row r="10" spans="1:25">
      <c r="A10" s="129">
        <f>B9</f>
        <v>970</v>
      </c>
      <c r="B10" s="77">
        <v>1035</v>
      </c>
      <c r="C10" s="134" t="s">
        <v>330</v>
      </c>
      <c r="D10" s="135" t="s">
        <v>326</v>
      </c>
      <c r="E10" s="388" t="s">
        <v>373</v>
      </c>
      <c r="F10" s="389"/>
      <c r="G10" s="389"/>
      <c r="H10" s="389"/>
      <c r="I10" s="389"/>
      <c r="J10" s="390"/>
      <c r="K10" s="391">
        <v>4</v>
      </c>
      <c r="L10" s="392"/>
      <c r="N10" s="133"/>
      <c r="Q10" s="300">
        <v>1000</v>
      </c>
      <c r="R10" s="77">
        <v>577.19999999999993</v>
      </c>
      <c r="S10" s="300">
        <v>111.7</v>
      </c>
      <c r="T10" s="301"/>
      <c r="U10" s="77"/>
      <c r="V10" s="300"/>
      <c r="W10" s="147"/>
    </row>
    <row r="11" spans="1:25">
      <c r="A11" s="129">
        <f t="shared" ref="A11:A31" si="0">B10</f>
        <v>1035</v>
      </c>
      <c r="B11" s="77">
        <v>1100</v>
      </c>
      <c r="C11" s="134" t="s">
        <v>330</v>
      </c>
      <c r="D11" s="135" t="s">
        <v>326</v>
      </c>
      <c r="E11" s="388" t="s">
        <v>374</v>
      </c>
      <c r="F11" s="389"/>
      <c r="G11" s="389"/>
      <c r="H11" s="389"/>
      <c r="I11" s="389"/>
      <c r="J11" s="390"/>
      <c r="K11" s="391">
        <v>4</v>
      </c>
      <c r="L11" s="392"/>
      <c r="N11" s="133"/>
      <c r="Q11" s="300">
        <v>1100</v>
      </c>
      <c r="R11" s="77">
        <v>577.19999999999993</v>
      </c>
      <c r="S11" s="300">
        <v>111.7</v>
      </c>
      <c r="T11" s="301"/>
      <c r="U11" s="77"/>
      <c r="V11" s="300"/>
      <c r="W11" s="147"/>
    </row>
    <row r="12" spans="1:25" ht="12" customHeight="1">
      <c r="A12" s="129">
        <f t="shared" si="0"/>
        <v>1100</v>
      </c>
      <c r="B12" s="77">
        <v>1175</v>
      </c>
      <c r="C12" s="134" t="s">
        <v>330</v>
      </c>
      <c r="D12" s="135" t="s">
        <v>326</v>
      </c>
      <c r="E12" s="388" t="s">
        <v>375</v>
      </c>
      <c r="F12" s="389"/>
      <c r="G12" s="389"/>
      <c r="H12" s="389"/>
      <c r="I12" s="389"/>
      <c r="J12" s="390"/>
      <c r="K12" s="391">
        <v>4</v>
      </c>
      <c r="L12" s="392"/>
      <c r="N12" s="133"/>
      <c r="Q12" s="300">
        <v>1200</v>
      </c>
      <c r="R12" s="77">
        <v>577.19999999999993</v>
      </c>
      <c r="S12" s="300">
        <v>111.7</v>
      </c>
      <c r="T12" s="301"/>
      <c r="U12" s="77"/>
      <c r="V12" s="300"/>
      <c r="W12" s="147"/>
    </row>
    <row r="13" spans="1:25">
      <c r="A13" s="129">
        <f t="shared" si="0"/>
        <v>1175</v>
      </c>
      <c r="B13" s="77">
        <v>1220</v>
      </c>
      <c r="C13" s="134" t="s">
        <v>330</v>
      </c>
      <c r="D13" s="135" t="s">
        <v>326</v>
      </c>
      <c r="E13" s="388" t="s">
        <v>376</v>
      </c>
      <c r="F13" s="389"/>
      <c r="G13" s="389"/>
      <c r="H13" s="389"/>
      <c r="I13" s="389"/>
      <c r="J13" s="390"/>
      <c r="K13" s="414">
        <v>4</v>
      </c>
      <c r="L13" s="415"/>
      <c r="N13" s="133"/>
      <c r="Q13" s="300">
        <v>1300</v>
      </c>
      <c r="R13" s="77">
        <v>577.4</v>
      </c>
      <c r="S13" s="300">
        <v>111.5</v>
      </c>
      <c r="T13" s="301"/>
      <c r="U13" s="77"/>
      <c r="V13" s="300"/>
      <c r="W13" s="147"/>
    </row>
    <row r="14" spans="1:25">
      <c r="A14" s="129">
        <f t="shared" si="0"/>
        <v>1220</v>
      </c>
      <c r="B14" s="77">
        <v>1275</v>
      </c>
      <c r="C14" s="134" t="s">
        <v>377</v>
      </c>
      <c r="D14" s="135" t="s">
        <v>326</v>
      </c>
      <c r="E14" s="388" t="s">
        <v>378</v>
      </c>
      <c r="F14" s="389"/>
      <c r="G14" s="389"/>
      <c r="H14" s="389"/>
      <c r="I14" s="389"/>
      <c r="J14" s="390"/>
      <c r="K14" s="391">
        <v>3</v>
      </c>
      <c r="L14" s="392"/>
      <c r="N14" s="133"/>
      <c r="Q14" s="300">
        <v>1400</v>
      </c>
      <c r="R14" s="77">
        <v>577.4</v>
      </c>
      <c r="S14" s="300">
        <v>111.5</v>
      </c>
      <c r="T14" s="301"/>
      <c r="U14" s="77"/>
      <c r="V14" s="300"/>
      <c r="W14" s="148"/>
    </row>
    <row r="15" spans="1:25">
      <c r="A15" s="129">
        <f t="shared" si="0"/>
        <v>1275</v>
      </c>
      <c r="B15" s="77">
        <v>1325</v>
      </c>
      <c r="C15" s="134" t="s">
        <v>330</v>
      </c>
      <c r="D15" s="135" t="s">
        <v>326</v>
      </c>
      <c r="E15" s="388" t="s">
        <v>379</v>
      </c>
      <c r="F15" s="389"/>
      <c r="G15" s="389"/>
      <c r="H15" s="389"/>
      <c r="I15" s="389"/>
      <c r="J15" s="390"/>
      <c r="K15" s="414">
        <v>4</v>
      </c>
      <c r="L15" s="415"/>
      <c r="N15" s="133"/>
      <c r="Q15" s="300">
        <v>1500</v>
      </c>
      <c r="R15" s="77">
        <v>577.4</v>
      </c>
      <c r="S15" s="300">
        <v>111.5</v>
      </c>
      <c r="T15" s="301"/>
      <c r="U15" s="77"/>
      <c r="V15" s="300"/>
      <c r="W15" s="147"/>
    </row>
    <row r="16" spans="1:25">
      <c r="A16" s="129">
        <f t="shared" si="0"/>
        <v>1325</v>
      </c>
      <c r="B16" s="77">
        <v>1415</v>
      </c>
      <c r="C16" s="134">
        <v>0.18</v>
      </c>
      <c r="D16" s="135">
        <v>0.12</v>
      </c>
      <c r="E16" s="388" t="s">
        <v>375</v>
      </c>
      <c r="F16" s="389"/>
      <c r="G16" s="389"/>
      <c r="H16" s="389"/>
      <c r="I16" s="389"/>
      <c r="J16" s="390"/>
      <c r="K16" s="391">
        <v>4</v>
      </c>
      <c r="L16" s="392"/>
      <c r="N16" s="133"/>
      <c r="Q16" s="300">
        <v>1600</v>
      </c>
      <c r="R16" s="77">
        <v>577.9</v>
      </c>
      <c r="S16" s="300">
        <v>111</v>
      </c>
      <c r="T16" s="301"/>
      <c r="U16" s="77"/>
      <c r="V16" s="300"/>
      <c r="W16" s="147"/>
    </row>
    <row r="17" spans="1:23">
      <c r="A17" s="129">
        <f t="shared" si="0"/>
        <v>1415</v>
      </c>
      <c r="B17" s="77">
        <v>1530</v>
      </c>
      <c r="C17" s="134" t="s">
        <v>330</v>
      </c>
      <c r="D17" s="135" t="s">
        <v>326</v>
      </c>
      <c r="E17" s="388" t="s">
        <v>380</v>
      </c>
      <c r="F17" s="389"/>
      <c r="G17" s="389"/>
      <c r="H17" s="389"/>
      <c r="I17" s="389"/>
      <c r="J17" s="390"/>
      <c r="K17" s="414">
        <v>4</v>
      </c>
      <c r="L17" s="415"/>
      <c r="N17" s="133"/>
      <c r="Q17" s="300">
        <v>1700</v>
      </c>
      <c r="R17" s="77">
        <v>578.9</v>
      </c>
      <c r="S17" s="300">
        <v>110</v>
      </c>
      <c r="T17" s="301"/>
      <c r="U17" s="77"/>
      <c r="V17" s="300"/>
      <c r="W17" s="147"/>
    </row>
    <row r="18" spans="1:23">
      <c r="A18" s="129">
        <f t="shared" si="0"/>
        <v>1530</v>
      </c>
      <c r="B18" s="77">
        <v>1570</v>
      </c>
      <c r="C18" s="134">
        <v>0.18</v>
      </c>
      <c r="D18" s="135">
        <v>0.12</v>
      </c>
      <c r="E18" s="388" t="s">
        <v>381</v>
      </c>
      <c r="F18" s="389"/>
      <c r="G18" s="389"/>
      <c r="H18" s="389"/>
      <c r="I18" s="389"/>
      <c r="J18" s="390"/>
      <c r="K18" s="391">
        <v>4</v>
      </c>
      <c r="L18" s="392"/>
      <c r="N18" s="133"/>
      <c r="Q18" s="300">
        <v>1800</v>
      </c>
      <c r="R18" s="77">
        <v>579.9</v>
      </c>
      <c r="S18" s="300">
        <v>109</v>
      </c>
      <c r="T18" s="301"/>
      <c r="U18" s="77"/>
      <c r="V18" s="300"/>
      <c r="W18" s="147"/>
    </row>
    <row r="19" spans="1:23" ht="12.75" customHeight="1">
      <c r="A19" s="129">
        <f t="shared" si="0"/>
        <v>1570</v>
      </c>
      <c r="B19" s="77">
        <v>1630</v>
      </c>
      <c r="C19" s="134" t="s">
        <v>330</v>
      </c>
      <c r="D19" s="135" t="s">
        <v>326</v>
      </c>
      <c r="E19" s="388" t="s">
        <v>380</v>
      </c>
      <c r="F19" s="389"/>
      <c r="G19" s="389"/>
      <c r="H19" s="389"/>
      <c r="I19" s="389"/>
      <c r="J19" s="390"/>
      <c r="K19" s="414">
        <v>4</v>
      </c>
      <c r="L19" s="415"/>
      <c r="N19" s="133"/>
      <c r="Q19" s="300">
        <v>1900</v>
      </c>
      <c r="R19" s="77">
        <v>580.9</v>
      </c>
      <c r="S19" s="300">
        <v>108</v>
      </c>
      <c r="T19" s="301"/>
      <c r="U19" s="77"/>
      <c r="V19" s="300"/>
      <c r="W19" s="147"/>
    </row>
    <row r="20" spans="1:23" ht="12.75" customHeight="1">
      <c r="A20" s="129">
        <f t="shared" si="0"/>
        <v>1630</v>
      </c>
      <c r="B20" s="77">
        <v>1655</v>
      </c>
      <c r="C20" s="134" t="s">
        <v>377</v>
      </c>
      <c r="D20" s="135" t="s">
        <v>326</v>
      </c>
      <c r="E20" s="388" t="s">
        <v>382</v>
      </c>
      <c r="F20" s="389"/>
      <c r="G20" s="389"/>
      <c r="H20" s="389"/>
      <c r="I20" s="389"/>
      <c r="J20" s="390"/>
      <c r="K20" s="391">
        <v>3</v>
      </c>
      <c r="L20" s="392"/>
      <c r="N20" s="133"/>
      <c r="Q20" s="300">
        <v>2000</v>
      </c>
      <c r="R20" s="77">
        <v>580.9</v>
      </c>
      <c r="S20" s="300">
        <v>108</v>
      </c>
      <c r="T20" s="301"/>
      <c r="U20" s="77"/>
      <c r="V20" s="300"/>
      <c r="W20" s="147"/>
    </row>
    <row r="21" spans="1:23" ht="12.75" customHeight="1">
      <c r="A21" s="129">
        <f t="shared" si="0"/>
        <v>1655</v>
      </c>
      <c r="B21" s="77">
        <v>1710</v>
      </c>
      <c r="C21" s="134" t="s">
        <v>330</v>
      </c>
      <c r="D21" s="135" t="s">
        <v>326</v>
      </c>
      <c r="E21" s="388" t="s">
        <v>383</v>
      </c>
      <c r="F21" s="389"/>
      <c r="G21" s="389"/>
      <c r="H21" s="389"/>
      <c r="I21" s="389"/>
      <c r="J21" s="390"/>
      <c r="K21" s="391">
        <v>4</v>
      </c>
      <c r="L21" s="392"/>
      <c r="N21" s="133"/>
      <c r="Q21" s="300">
        <v>2100</v>
      </c>
      <c r="R21" s="77">
        <v>580.9</v>
      </c>
      <c r="S21" s="300">
        <v>108</v>
      </c>
      <c r="T21" s="301"/>
      <c r="U21" s="77"/>
      <c r="V21" s="300"/>
      <c r="W21" s="147"/>
    </row>
    <row r="22" spans="1:23" ht="12.75" customHeight="1">
      <c r="A22" s="129">
        <f t="shared" si="0"/>
        <v>1710</v>
      </c>
      <c r="B22" s="77">
        <v>1785</v>
      </c>
      <c r="C22" s="134" t="s">
        <v>377</v>
      </c>
      <c r="D22" s="135" t="s">
        <v>320</v>
      </c>
      <c r="E22" s="388" t="s">
        <v>384</v>
      </c>
      <c r="F22" s="389"/>
      <c r="G22" s="389"/>
      <c r="H22" s="389"/>
      <c r="I22" s="389"/>
      <c r="J22" s="390"/>
      <c r="K22" s="414">
        <v>3</v>
      </c>
      <c r="L22" s="415"/>
      <c r="N22" s="133"/>
      <c r="Q22" s="300">
        <v>2200</v>
      </c>
      <c r="R22" s="77">
        <v>580.9</v>
      </c>
      <c r="S22" s="300">
        <v>108</v>
      </c>
      <c r="T22" s="301"/>
      <c r="U22" s="77"/>
      <c r="V22" s="300"/>
      <c r="W22" s="147"/>
    </row>
    <row r="23" spans="1:23" ht="12.75" customHeight="1">
      <c r="A23" s="129">
        <f t="shared" si="0"/>
        <v>1785</v>
      </c>
      <c r="B23" s="77">
        <v>1880</v>
      </c>
      <c r="C23" s="134" t="s">
        <v>330</v>
      </c>
      <c r="D23" s="135" t="s">
        <v>326</v>
      </c>
      <c r="E23" s="414" t="s">
        <v>375</v>
      </c>
      <c r="F23" s="415"/>
      <c r="G23" s="415"/>
      <c r="H23" s="415"/>
      <c r="I23" s="415"/>
      <c r="J23" s="416"/>
      <c r="K23" s="391">
        <v>4</v>
      </c>
      <c r="L23" s="392"/>
      <c r="N23" s="133"/>
      <c r="Q23" s="300">
        <v>2300</v>
      </c>
      <c r="R23" s="77">
        <v>580.9</v>
      </c>
      <c r="S23" s="300">
        <v>108</v>
      </c>
      <c r="T23" s="301"/>
      <c r="U23" s="77"/>
      <c r="V23" s="300"/>
      <c r="W23" s="147"/>
    </row>
    <row r="24" spans="1:23" ht="15" customHeight="1">
      <c r="A24" s="129">
        <f t="shared" si="0"/>
        <v>1880</v>
      </c>
      <c r="B24" s="77">
        <v>1940</v>
      </c>
      <c r="C24" s="134" t="s">
        <v>330</v>
      </c>
      <c r="D24" s="135" t="s">
        <v>326</v>
      </c>
      <c r="E24" s="388" t="s">
        <v>385</v>
      </c>
      <c r="F24" s="389"/>
      <c r="G24" s="389"/>
      <c r="H24" s="389"/>
      <c r="I24" s="389"/>
      <c r="J24" s="390"/>
      <c r="K24" s="391">
        <v>4</v>
      </c>
      <c r="L24" s="392"/>
      <c r="N24" s="133"/>
      <c r="Q24" s="300">
        <v>2400</v>
      </c>
      <c r="R24" s="77">
        <v>580.9</v>
      </c>
      <c r="S24" s="300">
        <v>108</v>
      </c>
      <c r="T24" s="301"/>
      <c r="U24" s="77"/>
      <c r="V24" s="300"/>
      <c r="W24" s="147"/>
    </row>
    <row r="25" spans="1:23" ht="23.25" customHeight="1">
      <c r="A25" s="129">
        <f t="shared" si="0"/>
        <v>1940</v>
      </c>
      <c r="B25" s="77">
        <v>2060</v>
      </c>
      <c r="C25" s="134" t="s">
        <v>387</v>
      </c>
      <c r="D25" s="135" t="s">
        <v>320</v>
      </c>
      <c r="E25" s="388" t="s">
        <v>386</v>
      </c>
      <c r="F25" s="389"/>
      <c r="G25" s="389"/>
      <c r="H25" s="389"/>
      <c r="I25" s="389"/>
      <c r="J25" s="390"/>
      <c r="K25" s="391">
        <v>4</v>
      </c>
      <c r="L25" s="392"/>
      <c r="N25" s="133"/>
      <c r="Q25" s="300">
        <v>2500</v>
      </c>
      <c r="R25" s="77">
        <v>580.9</v>
      </c>
      <c r="S25" s="300">
        <v>108</v>
      </c>
      <c r="T25" s="301"/>
      <c r="U25" s="77"/>
      <c r="V25" s="300"/>
      <c r="W25" s="147"/>
    </row>
    <row r="26" spans="1:23" ht="23.25" customHeight="1">
      <c r="A26" s="129">
        <f t="shared" si="0"/>
        <v>2060</v>
      </c>
      <c r="B26" s="77">
        <v>2200</v>
      </c>
      <c r="C26" s="134" t="s">
        <v>387</v>
      </c>
      <c r="D26" s="135" t="s">
        <v>326</v>
      </c>
      <c r="E26" s="388" t="s">
        <v>389</v>
      </c>
      <c r="F26" s="389"/>
      <c r="G26" s="389"/>
      <c r="H26" s="389"/>
      <c r="I26" s="389"/>
      <c r="J26" s="390"/>
      <c r="K26" s="391">
        <v>4</v>
      </c>
      <c r="L26" s="392"/>
      <c r="N26" s="133"/>
      <c r="Q26" s="300">
        <v>2550</v>
      </c>
      <c r="R26" s="77">
        <v>580.9</v>
      </c>
      <c r="S26" s="300">
        <v>108</v>
      </c>
      <c r="T26" s="301"/>
      <c r="U26" s="77"/>
      <c r="V26" s="300"/>
      <c r="W26" s="147"/>
    </row>
    <row r="27" spans="1:23" ht="16.5" customHeight="1">
      <c r="A27" s="129">
        <f t="shared" si="0"/>
        <v>2200</v>
      </c>
      <c r="B27" s="77">
        <v>2245</v>
      </c>
      <c r="C27" s="134" t="s">
        <v>330</v>
      </c>
      <c r="D27" s="135" t="s">
        <v>320</v>
      </c>
      <c r="E27" s="388" t="s">
        <v>388</v>
      </c>
      <c r="F27" s="389"/>
      <c r="G27" s="389"/>
      <c r="H27" s="389"/>
      <c r="I27" s="389"/>
      <c r="J27" s="390"/>
      <c r="K27" s="391">
        <v>4</v>
      </c>
      <c r="L27" s="392"/>
      <c r="N27" s="133"/>
      <c r="Q27" s="300"/>
      <c r="R27" s="77"/>
      <c r="S27" s="300"/>
      <c r="T27" s="301"/>
      <c r="U27" s="77"/>
      <c r="V27" s="300"/>
      <c r="W27" s="147"/>
    </row>
    <row r="28" spans="1:23" ht="18.75" customHeight="1">
      <c r="A28" s="129">
        <f t="shared" si="0"/>
        <v>2245</v>
      </c>
      <c r="B28" s="77">
        <v>2320</v>
      </c>
      <c r="C28" s="134" t="s">
        <v>387</v>
      </c>
      <c r="D28" s="135" t="s">
        <v>326</v>
      </c>
      <c r="E28" s="388" t="s">
        <v>393</v>
      </c>
      <c r="F28" s="389"/>
      <c r="G28" s="389"/>
      <c r="H28" s="389"/>
      <c r="I28" s="389"/>
      <c r="J28" s="390"/>
      <c r="K28" s="391">
        <v>4</v>
      </c>
      <c r="L28" s="392"/>
      <c r="N28" s="133"/>
      <c r="Q28" s="300"/>
      <c r="R28" s="77"/>
      <c r="S28" s="300"/>
      <c r="T28" s="301"/>
      <c r="U28" s="77"/>
      <c r="V28" s="300"/>
      <c r="W28" s="147"/>
    </row>
    <row r="29" spans="1:23" ht="18" customHeight="1">
      <c r="A29" s="129">
        <f t="shared" si="0"/>
        <v>2320</v>
      </c>
      <c r="B29" s="77">
        <v>2360</v>
      </c>
      <c r="C29" s="134" t="s">
        <v>377</v>
      </c>
      <c r="D29" s="135" t="s">
        <v>326</v>
      </c>
      <c r="E29" s="388" t="s">
        <v>378</v>
      </c>
      <c r="F29" s="389"/>
      <c r="G29" s="389"/>
      <c r="H29" s="389"/>
      <c r="I29" s="389"/>
      <c r="J29" s="390"/>
      <c r="K29" s="391">
        <v>3</v>
      </c>
      <c r="L29" s="392"/>
      <c r="N29" s="133"/>
      <c r="Q29" s="300"/>
      <c r="R29" s="77"/>
      <c r="S29" s="300"/>
      <c r="T29" s="301"/>
      <c r="U29" s="77"/>
      <c r="V29" s="300"/>
      <c r="W29" s="147"/>
    </row>
    <row r="30" spans="1:23" ht="14.25" customHeight="1">
      <c r="A30" s="129">
        <f t="shared" si="0"/>
        <v>2360</v>
      </c>
      <c r="B30" s="77">
        <v>2465</v>
      </c>
      <c r="C30" s="134">
        <v>0.18</v>
      </c>
      <c r="D30" s="135">
        <v>0.15</v>
      </c>
      <c r="E30" s="388" t="s">
        <v>394</v>
      </c>
      <c r="F30" s="389"/>
      <c r="G30" s="389"/>
      <c r="H30" s="389"/>
      <c r="I30" s="389"/>
      <c r="J30" s="390"/>
      <c r="K30" s="391">
        <v>4</v>
      </c>
      <c r="L30" s="392"/>
      <c r="N30" s="133"/>
      <c r="Q30" s="300"/>
      <c r="R30" s="77"/>
      <c r="S30" s="300"/>
      <c r="T30" s="301"/>
      <c r="U30" s="77"/>
      <c r="V30" s="300"/>
      <c r="W30" s="147"/>
    </row>
    <row r="31" spans="1:23" ht="12" customHeight="1">
      <c r="A31" s="129">
        <f t="shared" si="0"/>
        <v>2465</v>
      </c>
      <c r="B31" s="77">
        <v>2510</v>
      </c>
      <c r="C31" s="134" t="s">
        <v>330</v>
      </c>
      <c r="D31" s="135" t="s">
        <v>326</v>
      </c>
      <c r="E31" s="388" t="s">
        <v>380</v>
      </c>
      <c r="F31" s="389"/>
      <c r="G31" s="389"/>
      <c r="H31" s="389"/>
      <c r="I31" s="389"/>
      <c r="J31" s="390"/>
      <c r="K31" s="414">
        <v>4</v>
      </c>
      <c r="L31" s="415"/>
      <c r="N31" s="133"/>
      <c r="Q31" s="300"/>
      <c r="R31" s="77"/>
      <c r="S31" s="300"/>
      <c r="T31" s="301"/>
      <c r="U31" s="77"/>
      <c r="V31" s="300"/>
      <c r="W31" s="147"/>
    </row>
    <row r="32" spans="1:23">
      <c r="A32" s="129">
        <v>2510</v>
      </c>
      <c r="B32" s="77">
        <v>2550</v>
      </c>
      <c r="C32" s="134">
        <v>0.18</v>
      </c>
      <c r="D32" s="135">
        <v>0.12</v>
      </c>
      <c r="E32" s="388" t="s">
        <v>394</v>
      </c>
      <c r="F32" s="389"/>
      <c r="G32" s="389"/>
      <c r="H32" s="389"/>
      <c r="I32" s="389"/>
      <c r="J32" s="390"/>
      <c r="K32" s="391">
        <v>4</v>
      </c>
      <c r="L32" s="392"/>
      <c r="N32" s="133"/>
      <c r="Q32" s="300"/>
      <c r="R32" s="77"/>
      <c r="S32" s="300"/>
      <c r="T32" s="301"/>
      <c r="U32" s="77"/>
      <c r="V32" s="300"/>
      <c r="W32" s="147"/>
    </row>
    <row r="33" spans="1:12" ht="12.75" customHeight="1">
      <c r="A33" s="386" t="s">
        <v>97</v>
      </c>
      <c r="B33" s="387"/>
      <c r="C33" s="387"/>
      <c r="D33" s="387"/>
      <c r="E33" s="387"/>
      <c r="F33" s="387"/>
      <c r="G33" s="387"/>
      <c r="H33" s="387"/>
      <c r="I33" s="387"/>
      <c r="J33" s="387"/>
      <c r="K33" s="387"/>
      <c r="L33" s="387"/>
    </row>
    <row r="34" spans="1:12" ht="12.75" customHeight="1">
      <c r="A34" s="110">
        <v>5</v>
      </c>
      <c r="B34" s="383"/>
      <c r="C34" s="384"/>
      <c r="D34" s="384"/>
      <c r="E34" s="384"/>
      <c r="F34" s="384"/>
      <c r="G34" s="384"/>
      <c r="H34" s="384"/>
      <c r="I34" s="384"/>
      <c r="J34" s="384"/>
      <c r="K34" s="384"/>
      <c r="L34" s="385"/>
    </row>
    <row r="35" spans="1:12" ht="12.75" customHeight="1">
      <c r="A35" s="110">
        <v>4</v>
      </c>
      <c r="B35" s="383"/>
      <c r="C35" s="384"/>
      <c r="D35" s="384"/>
      <c r="E35" s="384"/>
      <c r="F35" s="384"/>
      <c r="G35" s="384"/>
      <c r="H35" s="384"/>
      <c r="I35" s="384"/>
      <c r="J35" s="384"/>
      <c r="K35" s="384"/>
      <c r="L35" s="385"/>
    </row>
    <row r="36" spans="1:12" ht="12.75" customHeight="1">
      <c r="A36" s="110">
        <v>3</v>
      </c>
      <c r="B36" s="383"/>
      <c r="C36" s="384"/>
      <c r="D36" s="384"/>
      <c r="E36" s="384"/>
      <c r="F36" s="384"/>
      <c r="G36" s="384"/>
      <c r="H36" s="384"/>
      <c r="I36" s="384"/>
      <c r="J36" s="384"/>
      <c r="K36" s="384"/>
      <c r="L36" s="385"/>
    </row>
    <row r="37" spans="1:12">
      <c r="A37" s="110">
        <v>2</v>
      </c>
      <c r="B37" s="383"/>
      <c r="C37" s="384"/>
      <c r="D37" s="384"/>
      <c r="E37" s="384"/>
      <c r="F37" s="384"/>
      <c r="G37" s="384"/>
      <c r="H37" s="384"/>
      <c r="I37" s="384"/>
      <c r="J37" s="384"/>
      <c r="K37" s="384"/>
      <c r="L37" s="385"/>
    </row>
    <row r="38" spans="1:12">
      <c r="A38" s="110">
        <v>1</v>
      </c>
      <c r="B38" s="383"/>
      <c r="C38" s="384"/>
      <c r="D38" s="384"/>
      <c r="E38" s="384"/>
      <c r="F38" s="384"/>
      <c r="G38" s="384"/>
      <c r="H38" s="384"/>
      <c r="I38" s="384"/>
      <c r="J38" s="384"/>
      <c r="K38" s="384"/>
      <c r="L38" s="385"/>
    </row>
    <row r="39" spans="1:12">
      <c r="A39" s="110">
        <v>0</v>
      </c>
      <c r="B39" s="383"/>
      <c r="C39" s="384"/>
      <c r="D39" s="384"/>
      <c r="E39" s="384"/>
      <c r="F39" s="384"/>
      <c r="G39" s="384"/>
      <c r="H39" s="384"/>
      <c r="I39" s="384"/>
      <c r="J39" s="384"/>
      <c r="K39" s="384"/>
      <c r="L39" s="385"/>
    </row>
    <row r="40" spans="1:12">
      <c r="A40" s="381"/>
      <c r="B40" s="382"/>
      <c r="C40" s="382"/>
      <c r="D40" s="382"/>
      <c r="E40" s="382"/>
      <c r="F40" s="382"/>
      <c r="G40" s="382"/>
      <c r="H40" s="382"/>
      <c r="I40" s="382"/>
      <c r="J40" s="382"/>
      <c r="K40" s="382"/>
      <c r="L40" s="382"/>
    </row>
    <row r="41" spans="1:12" ht="13">
      <c r="A41" s="387" t="s">
        <v>161</v>
      </c>
      <c r="B41" s="387"/>
      <c r="C41" s="387"/>
      <c r="D41" s="387"/>
      <c r="E41" s="387"/>
      <c r="F41" s="387"/>
      <c r="G41" s="387"/>
      <c r="H41" s="387"/>
      <c r="I41" s="387"/>
      <c r="J41" s="387"/>
      <c r="K41" s="387"/>
      <c r="L41" s="387"/>
    </row>
    <row r="42" spans="1:12">
      <c r="A42" s="394"/>
      <c r="B42" s="394"/>
      <c r="C42" s="394"/>
      <c r="D42" s="394"/>
      <c r="E42" s="394"/>
      <c r="F42" s="394"/>
      <c r="G42" s="394"/>
      <c r="H42" s="394"/>
      <c r="I42" s="394"/>
      <c r="J42" s="394"/>
      <c r="K42" s="394"/>
      <c r="L42" s="394"/>
    </row>
    <row r="43" spans="1:12">
      <c r="A43" s="395"/>
      <c r="B43" s="395"/>
      <c r="C43" s="395"/>
      <c r="D43" s="395"/>
      <c r="E43" s="395"/>
      <c r="F43" s="395"/>
      <c r="G43" s="395"/>
      <c r="H43" s="395"/>
      <c r="I43" s="395"/>
      <c r="J43" s="395"/>
      <c r="K43" s="395"/>
      <c r="L43" s="395"/>
    </row>
    <row r="44" spans="1:12">
      <c r="A44" s="384"/>
      <c r="B44" s="384"/>
      <c r="C44" s="384"/>
      <c r="D44" s="384"/>
      <c r="E44" s="384"/>
      <c r="F44" s="384"/>
      <c r="G44" s="384"/>
      <c r="H44" s="384"/>
      <c r="I44" s="384"/>
      <c r="J44" s="384"/>
      <c r="K44" s="384"/>
      <c r="L44" s="384"/>
    </row>
    <row r="45" spans="1:12">
      <c r="A45" s="384"/>
      <c r="B45" s="384"/>
      <c r="C45" s="384"/>
      <c r="D45" s="384"/>
      <c r="E45" s="384"/>
      <c r="F45" s="384"/>
      <c r="G45" s="384"/>
      <c r="H45" s="384"/>
      <c r="I45" s="384"/>
      <c r="J45" s="384"/>
      <c r="K45" s="384"/>
      <c r="L45" s="384"/>
    </row>
    <row r="46" spans="1:12">
      <c r="A46" s="384"/>
      <c r="B46" s="384"/>
      <c r="C46" s="384"/>
      <c r="D46" s="384"/>
      <c r="E46" s="384"/>
      <c r="F46" s="384"/>
      <c r="G46" s="384"/>
      <c r="H46" s="384"/>
      <c r="I46" s="384"/>
      <c r="J46" s="384"/>
      <c r="K46" s="384"/>
      <c r="L46" s="384"/>
    </row>
    <row r="47" spans="1:12">
      <c r="A47" s="384"/>
      <c r="B47" s="384"/>
      <c r="C47" s="384"/>
      <c r="D47" s="384"/>
      <c r="E47" s="384"/>
      <c r="F47" s="384"/>
      <c r="G47" s="384"/>
      <c r="H47" s="384"/>
      <c r="I47" s="384"/>
      <c r="J47" s="384"/>
      <c r="K47" s="384"/>
      <c r="L47" s="384"/>
    </row>
    <row r="48" spans="1:12">
      <c r="A48" s="393"/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</row>
  </sheetData>
  <sheetProtection formatCells="0"/>
  <mergeCells count="79">
    <mergeCell ref="E31:J31"/>
    <mergeCell ref="K31:L31"/>
    <mergeCell ref="E32:J32"/>
    <mergeCell ref="E21:J21"/>
    <mergeCell ref="E27:J27"/>
    <mergeCell ref="K32:L32"/>
    <mergeCell ref="E8:J8"/>
    <mergeCell ref="K8:L8"/>
    <mergeCell ref="E9:J9"/>
    <mergeCell ref="K9:L9"/>
    <mergeCell ref="K27:L27"/>
    <mergeCell ref="E26:J26"/>
    <mergeCell ref="K26:L26"/>
    <mergeCell ref="E25:J25"/>
    <mergeCell ref="K25:L25"/>
    <mergeCell ref="K21:L21"/>
    <mergeCell ref="E20:J20"/>
    <mergeCell ref="K20:L20"/>
    <mergeCell ref="E24:J24"/>
    <mergeCell ref="K24:L24"/>
    <mergeCell ref="E23:J23"/>
    <mergeCell ref="K23:L23"/>
    <mergeCell ref="A1:L1"/>
    <mergeCell ref="A2:L2"/>
    <mergeCell ref="A3:L3"/>
    <mergeCell ref="A4:L4"/>
    <mergeCell ref="A5:L5"/>
    <mergeCell ref="E13:J13"/>
    <mergeCell ref="K13:L13"/>
    <mergeCell ref="K12:L12"/>
    <mergeCell ref="E14:J14"/>
    <mergeCell ref="K14:L14"/>
    <mergeCell ref="E10:J10"/>
    <mergeCell ref="K10:L10"/>
    <mergeCell ref="E11:J11"/>
    <mergeCell ref="K11:L11"/>
    <mergeCell ref="E12:J12"/>
    <mergeCell ref="Q6:V6"/>
    <mergeCell ref="A7:B7"/>
    <mergeCell ref="C7:D7"/>
    <mergeCell ref="E7:J7"/>
    <mergeCell ref="K7:L7"/>
    <mergeCell ref="Q7:S7"/>
    <mergeCell ref="T7:V7"/>
    <mergeCell ref="A6:L6"/>
    <mergeCell ref="B36:L36"/>
    <mergeCell ref="A33:L33"/>
    <mergeCell ref="B34:L34"/>
    <mergeCell ref="B35:L35"/>
    <mergeCell ref="E15:J15"/>
    <mergeCell ref="K15:L15"/>
    <mergeCell ref="E16:J16"/>
    <mergeCell ref="K16:L16"/>
    <mergeCell ref="E30:J30"/>
    <mergeCell ref="K30:L30"/>
    <mergeCell ref="E29:J29"/>
    <mergeCell ref="K29:L29"/>
    <mergeCell ref="E28:J28"/>
    <mergeCell ref="K28:L28"/>
    <mergeCell ref="E22:J22"/>
    <mergeCell ref="K22:L22"/>
    <mergeCell ref="E17:J17"/>
    <mergeCell ref="K17:L17"/>
    <mergeCell ref="E18:J18"/>
    <mergeCell ref="K18:L18"/>
    <mergeCell ref="E19:J19"/>
    <mergeCell ref="K19:L19"/>
    <mergeCell ref="A48:L48"/>
    <mergeCell ref="B37:L37"/>
    <mergeCell ref="B38:L38"/>
    <mergeCell ref="B39:L39"/>
    <mergeCell ref="A40:L40"/>
    <mergeCell ref="A41:L41"/>
    <mergeCell ref="A42:L42"/>
    <mergeCell ref="A43:L43"/>
    <mergeCell ref="A44:L44"/>
    <mergeCell ref="A45:L45"/>
    <mergeCell ref="A46:L46"/>
    <mergeCell ref="A47:L47"/>
  </mergeCells>
  <conditionalFormatting sqref="A34:A39 K24:L28 K30:L30">
    <cfRule type="containsText" dxfId="798" priority="1057" stopIfTrue="1" operator="containsText" text="0">
      <formula>NOT(ISERROR(SEARCH("0",A24)))</formula>
    </cfRule>
    <cfRule type="containsText" dxfId="797" priority="1058" stopIfTrue="1" operator="containsText" text="1">
      <formula>NOT(ISERROR(SEARCH("1",A24)))</formula>
    </cfRule>
    <cfRule type="containsText" dxfId="796" priority="1059" stopIfTrue="1" operator="containsText" text="2">
      <formula>NOT(ISERROR(SEARCH("2",A24)))</formula>
    </cfRule>
    <cfRule type="containsText" dxfId="795" priority="1060" stopIfTrue="1" operator="containsText" text="3">
      <formula>NOT(ISERROR(SEARCH("3",A24)))</formula>
    </cfRule>
    <cfRule type="containsText" dxfId="794" priority="1061" stopIfTrue="1" operator="containsText" text="4">
      <formula>NOT(ISERROR(SEARCH("4",A24)))</formula>
    </cfRule>
    <cfRule type="containsText" dxfId="793" priority="1062" stopIfTrue="1" operator="containsText" text="5">
      <formula>NOT(ISERROR(SEARCH("5",A24)))</formula>
    </cfRule>
  </conditionalFormatting>
  <conditionalFormatting sqref="K13:L13">
    <cfRule type="containsText" dxfId="792" priority="403" stopIfTrue="1" operator="containsText" text="0">
      <formula>NOT(ISERROR(SEARCH("0",K13)))</formula>
    </cfRule>
    <cfRule type="containsText" dxfId="791" priority="404" stopIfTrue="1" operator="containsText" text="1">
      <formula>NOT(ISERROR(SEARCH("1",K13)))</formula>
    </cfRule>
    <cfRule type="containsText" dxfId="790" priority="405" stopIfTrue="1" operator="containsText" text="2">
      <formula>NOT(ISERROR(SEARCH("2",K13)))</formula>
    </cfRule>
    <cfRule type="containsText" dxfId="789" priority="406" stopIfTrue="1" operator="containsText" text="3">
      <formula>NOT(ISERROR(SEARCH("3",K13)))</formula>
    </cfRule>
    <cfRule type="containsText" dxfId="788" priority="407" stopIfTrue="1" operator="containsText" text="4">
      <formula>NOT(ISERROR(SEARCH("4",K13)))</formula>
    </cfRule>
    <cfRule type="containsText" dxfId="787" priority="408" stopIfTrue="1" operator="containsText" text="5">
      <formula>NOT(ISERROR(SEARCH("5",K13)))</formula>
    </cfRule>
  </conditionalFormatting>
  <conditionalFormatting sqref="K14:L14">
    <cfRule type="containsText" dxfId="786" priority="253" stopIfTrue="1" operator="containsText" text="0">
      <formula>NOT(ISERROR(SEARCH("0",K14)))</formula>
    </cfRule>
    <cfRule type="containsText" dxfId="785" priority="254" stopIfTrue="1" operator="containsText" text="1">
      <formula>NOT(ISERROR(SEARCH("1",K14)))</formula>
    </cfRule>
    <cfRule type="containsText" dxfId="784" priority="255" stopIfTrue="1" operator="containsText" text="2">
      <formula>NOT(ISERROR(SEARCH("2",K14)))</formula>
    </cfRule>
    <cfRule type="containsText" dxfId="783" priority="256" stopIfTrue="1" operator="containsText" text="3">
      <formula>NOT(ISERROR(SEARCH("3",K14)))</formula>
    </cfRule>
    <cfRule type="containsText" dxfId="782" priority="257" stopIfTrue="1" operator="containsText" text="4">
      <formula>NOT(ISERROR(SEARCH("4",K14)))</formula>
    </cfRule>
    <cfRule type="containsText" dxfId="781" priority="258" stopIfTrue="1" operator="containsText" text="5">
      <formula>NOT(ISERROR(SEARCH("5",K14)))</formula>
    </cfRule>
  </conditionalFormatting>
  <conditionalFormatting sqref="K10:L10">
    <cfRule type="containsText" dxfId="780" priority="181" stopIfTrue="1" operator="containsText" text="0">
      <formula>NOT(ISERROR(SEARCH("0",K10)))</formula>
    </cfRule>
    <cfRule type="containsText" dxfId="779" priority="182" stopIfTrue="1" operator="containsText" text="1">
      <formula>NOT(ISERROR(SEARCH("1",K10)))</formula>
    </cfRule>
    <cfRule type="containsText" dxfId="778" priority="183" stopIfTrue="1" operator="containsText" text="2">
      <formula>NOT(ISERROR(SEARCH("2",K10)))</formula>
    </cfRule>
    <cfRule type="containsText" dxfId="777" priority="184" stopIfTrue="1" operator="containsText" text="3">
      <formula>NOT(ISERROR(SEARCH("3",K10)))</formula>
    </cfRule>
    <cfRule type="containsText" dxfId="776" priority="185" stopIfTrue="1" operator="containsText" text="4">
      <formula>NOT(ISERROR(SEARCH("4",K10)))</formula>
    </cfRule>
    <cfRule type="containsText" dxfId="775" priority="186" stopIfTrue="1" operator="containsText" text="5">
      <formula>NOT(ISERROR(SEARCH("5",K10)))</formula>
    </cfRule>
  </conditionalFormatting>
  <conditionalFormatting sqref="K11:L11">
    <cfRule type="containsText" dxfId="774" priority="175" stopIfTrue="1" operator="containsText" text="0">
      <formula>NOT(ISERROR(SEARCH("0",K11)))</formula>
    </cfRule>
    <cfRule type="containsText" dxfId="773" priority="176" stopIfTrue="1" operator="containsText" text="1">
      <formula>NOT(ISERROR(SEARCH("1",K11)))</formula>
    </cfRule>
    <cfRule type="containsText" dxfId="772" priority="177" stopIfTrue="1" operator="containsText" text="2">
      <formula>NOT(ISERROR(SEARCH("2",K11)))</formula>
    </cfRule>
    <cfRule type="containsText" dxfId="771" priority="178" stopIfTrue="1" operator="containsText" text="3">
      <formula>NOT(ISERROR(SEARCH("3",K11)))</formula>
    </cfRule>
    <cfRule type="containsText" dxfId="770" priority="179" stopIfTrue="1" operator="containsText" text="4">
      <formula>NOT(ISERROR(SEARCH("4",K11)))</formula>
    </cfRule>
    <cfRule type="containsText" dxfId="769" priority="180" stopIfTrue="1" operator="containsText" text="5">
      <formula>NOT(ISERROR(SEARCH("5",K11)))</formula>
    </cfRule>
  </conditionalFormatting>
  <conditionalFormatting sqref="K12:L12">
    <cfRule type="containsText" dxfId="768" priority="97" stopIfTrue="1" operator="containsText" text="0">
      <formula>NOT(ISERROR(SEARCH("0",K12)))</formula>
    </cfRule>
    <cfRule type="containsText" dxfId="767" priority="98" stopIfTrue="1" operator="containsText" text="1">
      <formula>NOT(ISERROR(SEARCH("1",K12)))</formula>
    </cfRule>
    <cfRule type="containsText" dxfId="766" priority="99" stopIfTrue="1" operator="containsText" text="2">
      <formula>NOT(ISERROR(SEARCH("2",K12)))</formula>
    </cfRule>
    <cfRule type="containsText" dxfId="765" priority="100" stopIfTrue="1" operator="containsText" text="3">
      <formula>NOT(ISERROR(SEARCH("3",K12)))</formula>
    </cfRule>
    <cfRule type="containsText" dxfId="764" priority="101" stopIfTrue="1" operator="containsText" text="4">
      <formula>NOT(ISERROR(SEARCH("4",K12)))</formula>
    </cfRule>
    <cfRule type="containsText" dxfId="763" priority="102" stopIfTrue="1" operator="containsText" text="5">
      <formula>NOT(ISERROR(SEARCH("5",K12)))</formula>
    </cfRule>
  </conditionalFormatting>
  <conditionalFormatting sqref="K20:L20">
    <cfRule type="containsText" dxfId="762" priority="85" stopIfTrue="1" operator="containsText" text="0">
      <formula>NOT(ISERROR(SEARCH("0",K20)))</formula>
    </cfRule>
    <cfRule type="containsText" dxfId="761" priority="86" stopIfTrue="1" operator="containsText" text="1">
      <formula>NOT(ISERROR(SEARCH("1",K20)))</formula>
    </cfRule>
    <cfRule type="containsText" dxfId="760" priority="87" stopIfTrue="1" operator="containsText" text="2">
      <formula>NOT(ISERROR(SEARCH("2",K20)))</formula>
    </cfRule>
    <cfRule type="containsText" dxfId="759" priority="88" stopIfTrue="1" operator="containsText" text="3">
      <formula>NOT(ISERROR(SEARCH("3",K20)))</formula>
    </cfRule>
    <cfRule type="containsText" dxfId="758" priority="89" stopIfTrue="1" operator="containsText" text="4">
      <formula>NOT(ISERROR(SEARCH("4",K20)))</formula>
    </cfRule>
    <cfRule type="containsText" dxfId="757" priority="90" stopIfTrue="1" operator="containsText" text="5">
      <formula>NOT(ISERROR(SEARCH("5",K20)))</formula>
    </cfRule>
  </conditionalFormatting>
  <conditionalFormatting sqref="K21:L21">
    <cfRule type="containsText" dxfId="756" priority="79" stopIfTrue="1" operator="containsText" text="0">
      <formula>NOT(ISERROR(SEARCH("0",K21)))</formula>
    </cfRule>
    <cfRule type="containsText" dxfId="755" priority="80" stopIfTrue="1" operator="containsText" text="1">
      <formula>NOT(ISERROR(SEARCH("1",K21)))</formula>
    </cfRule>
    <cfRule type="containsText" dxfId="754" priority="81" stopIfTrue="1" operator="containsText" text="2">
      <formula>NOT(ISERROR(SEARCH("2",K21)))</formula>
    </cfRule>
    <cfRule type="containsText" dxfId="753" priority="82" stopIfTrue="1" operator="containsText" text="3">
      <formula>NOT(ISERROR(SEARCH("3",K21)))</formula>
    </cfRule>
    <cfRule type="containsText" dxfId="752" priority="83" stopIfTrue="1" operator="containsText" text="4">
      <formula>NOT(ISERROR(SEARCH("4",K21)))</formula>
    </cfRule>
    <cfRule type="containsText" dxfId="751" priority="84" stopIfTrue="1" operator="containsText" text="5">
      <formula>NOT(ISERROR(SEARCH("5",K21)))</formula>
    </cfRule>
  </conditionalFormatting>
  <conditionalFormatting sqref="K22:L22">
    <cfRule type="containsText" dxfId="750" priority="73" stopIfTrue="1" operator="containsText" text="0">
      <formula>NOT(ISERROR(SEARCH("0",K22)))</formula>
    </cfRule>
    <cfRule type="containsText" dxfId="749" priority="74" stopIfTrue="1" operator="containsText" text="1">
      <formula>NOT(ISERROR(SEARCH("1",K22)))</formula>
    </cfRule>
    <cfRule type="containsText" dxfId="748" priority="75" stopIfTrue="1" operator="containsText" text="2">
      <formula>NOT(ISERROR(SEARCH("2",K22)))</formula>
    </cfRule>
    <cfRule type="containsText" dxfId="747" priority="76" stopIfTrue="1" operator="containsText" text="3">
      <formula>NOT(ISERROR(SEARCH("3",K22)))</formula>
    </cfRule>
    <cfRule type="containsText" dxfId="746" priority="77" stopIfTrue="1" operator="containsText" text="4">
      <formula>NOT(ISERROR(SEARCH("4",K22)))</formula>
    </cfRule>
    <cfRule type="containsText" dxfId="745" priority="78" stopIfTrue="1" operator="containsText" text="5">
      <formula>NOT(ISERROR(SEARCH("5",K22)))</formula>
    </cfRule>
  </conditionalFormatting>
  <conditionalFormatting sqref="K23:L23">
    <cfRule type="containsText" dxfId="744" priority="67" stopIfTrue="1" operator="containsText" text="0">
      <formula>NOT(ISERROR(SEARCH("0",K23)))</formula>
    </cfRule>
    <cfRule type="containsText" dxfId="743" priority="68" stopIfTrue="1" operator="containsText" text="1">
      <formula>NOT(ISERROR(SEARCH("1",K23)))</formula>
    </cfRule>
    <cfRule type="containsText" dxfId="742" priority="69" stopIfTrue="1" operator="containsText" text="2">
      <formula>NOT(ISERROR(SEARCH("2",K23)))</formula>
    </cfRule>
    <cfRule type="containsText" dxfId="741" priority="70" stopIfTrue="1" operator="containsText" text="3">
      <formula>NOT(ISERROR(SEARCH("3",K23)))</formula>
    </cfRule>
    <cfRule type="containsText" dxfId="740" priority="71" stopIfTrue="1" operator="containsText" text="4">
      <formula>NOT(ISERROR(SEARCH("4",K23)))</formula>
    </cfRule>
    <cfRule type="containsText" dxfId="739" priority="72" stopIfTrue="1" operator="containsText" text="5">
      <formula>NOT(ISERROR(SEARCH("5",K23)))</formula>
    </cfRule>
  </conditionalFormatting>
  <conditionalFormatting sqref="K9:L9">
    <cfRule type="containsText" dxfId="738" priority="55" stopIfTrue="1" operator="containsText" text="0">
      <formula>NOT(ISERROR(SEARCH("0",K9)))</formula>
    </cfRule>
    <cfRule type="containsText" dxfId="737" priority="56" stopIfTrue="1" operator="containsText" text="1">
      <formula>NOT(ISERROR(SEARCH("1",K9)))</formula>
    </cfRule>
    <cfRule type="containsText" dxfId="736" priority="57" stopIfTrue="1" operator="containsText" text="2">
      <formula>NOT(ISERROR(SEARCH("2",K9)))</formula>
    </cfRule>
    <cfRule type="containsText" dxfId="735" priority="58" stopIfTrue="1" operator="containsText" text="3">
      <formula>NOT(ISERROR(SEARCH("3",K9)))</formula>
    </cfRule>
    <cfRule type="containsText" dxfId="734" priority="59" stopIfTrue="1" operator="containsText" text="4">
      <formula>NOT(ISERROR(SEARCH("4",K9)))</formula>
    </cfRule>
    <cfRule type="containsText" dxfId="733" priority="60" stopIfTrue="1" operator="containsText" text="5">
      <formula>NOT(ISERROR(SEARCH("5",K9)))</formula>
    </cfRule>
  </conditionalFormatting>
  <conditionalFormatting sqref="K15:L15">
    <cfRule type="containsText" dxfId="732" priority="49" stopIfTrue="1" operator="containsText" text="0">
      <formula>NOT(ISERROR(SEARCH("0",K15)))</formula>
    </cfRule>
    <cfRule type="containsText" dxfId="731" priority="50" stopIfTrue="1" operator="containsText" text="1">
      <formula>NOT(ISERROR(SEARCH("1",K15)))</formula>
    </cfRule>
    <cfRule type="containsText" dxfId="730" priority="51" stopIfTrue="1" operator="containsText" text="2">
      <formula>NOT(ISERROR(SEARCH("2",K15)))</formula>
    </cfRule>
    <cfRule type="containsText" dxfId="729" priority="52" stopIfTrue="1" operator="containsText" text="3">
      <formula>NOT(ISERROR(SEARCH("3",K15)))</formula>
    </cfRule>
    <cfRule type="containsText" dxfId="728" priority="53" stopIfTrue="1" operator="containsText" text="4">
      <formula>NOT(ISERROR(SEARCH("4",K15)))</formula>
    </cfRule>
    <cfRule type="containsText" dxfId="727" priority="54" stopIfTrue="1" operator="containsText" text="5">
      <formula>NOT(ISERROR(SEARCH("5",K15)))</formula>
    </cfRule>
  </conditionalFormatting>
  <conditionalFormatting sqref="K16:L16">
    <cfRule type="containsText" dxfId="726" priority="43" stopIfTrue="1" operator="containsText" text="0">
      <formula>NOT(ISERROR(SEARCH("0",K16)))</formula>
    </cfRule>
    <cfRule type="containsText" dxfId="725" priority="44" stopIfTrue="1" operator="containsText" text="1">
      <formula>NOT(ISERROR(SEARCH("1",K16)))</formula>
    </cfRule>
    <cfRule type="containsText" dxfId="724" priority="45" stopIfTrue="1" operator="containsText" text="2">
      <formula>NOT(ISERROR(SEARCH("2",K16)))</formula>
    </cfRule>
    <cfRule type="containsText" dxfId="723" priority="46" stopIfTrue="1" operator="containsText" text="3">
      <formula>NOT(ISERROR(SEARCH("3",K16)))</formula>
    </cfRule>
    <cfRule type="containsText" dxfId="722" priority="47" stopIfTrue="1" operator="containsText" text="4">
      <formula>NOT(ISERROR(SEARCH("4",K16)))</formula>
    </cfRule>
    <cfRule type="containsText" dxfId="721" priority="48" stopIfTrue="1" operator="containsText" text="5">
      <formula>NOT(ISERROR(SEARCH("5",K16)))</formula>
    </cfRule>
  </conditionalFormatting>
  <conditionalFormatting sqref="K17:L17">
    <cfRule type="containsText" dxfId="720" priority="37" stopIfTrue="1" operator="containsText" text="0">
      <formula>NOT(ISERROR(SEARCH("0",K17)))</formula>
    </cfRule>
    <cfRule type="containsText" dxfId="719" priority="38" stopIfTrue="1" operator="containsText" text="1">
      <formula>NOT(ISERROR(SEARCH("1",K17)))</formula>
    </cfRule>
    <cfRule type="containsText" dxfId="718" priority="39" stopIfTrue="1" operator="containsText" text="2">
      <formula>NOT(ISERROR(SEARCH("2",K17)))</formula>
    </cfRule>
    <cfRule type="containsText" dxfId="717" priority="40" stopIfTrue="1" operator="containsText" text="3">
      <formula>NOT(ISERROR(SEARCH("3",K17)))</formula>
    </cfRule>
    <cfRule type="containsText" dxfId="716" priority="41" stopIfTrue="1" operator="containsText" text="4">
      <formula>NOT(ISERROR(SEARCH("4",K17)))</formula>
    </cfRule>
    <cfRule type="containsText" dxfId="715" priority="42" stopIfTrue="1" operator="containsText" text="5">
      <formula>NOT(ISERROR(SEARCH("5",K17)))</formula>
    </cfRule>
  </conditionalFormatting>
  <conditionalFormatting sqref="K18:L18">
    <cfRule type="containsText" dxfId="714" priority="31" stopIfTrue="1" operator="containsText" text="0">
      <formula>NOT(ISERROR(SEARCH("0",K18)))</formula>
    </cfRule>
    <cfRule type="containsText" dxfId="713" priority="32" stopIfTrue="1" operator="containsText" text="1">
      <formula>NOT(ISERROR(SEARCH("1",K18)))</formula>
    </cfRule>
    <cfRule type="containsText" dxfId="712" priority="33" stopIfTrue="1" operator="containsText" text="2">
      <formula>NOT(ISERROR(SEARCH("2",K18)))</formula>
    </cfRule>
    <cfRule type="containsText" dxfId="711" priority="34" stopIfTrue="1" operator="containsText" text="3">
      <formula>NOT(ISERROR(SEARCH("3",K18)))</formula>
    </cfRule>
    <cfRule type="containsText" dxfId="710" priority="35" stopIfTrue="1" operator="containsText" text="4">
      <formula>NOT(ISERROR(SEARCH("4",K18)))</formula>
    </cfRule>
    <cfRule type="containsText" dxfId="709" priority="36" stopIfTrue="1" operator="containsText" text="5">
      <formula>NOT(ISERROR(SEARCH("5",K18)))</formula>
    </cfRule>
  </conditionalFormatting>
  <conditionalFormatting sqref="K19:L19">
    <cfRule type="containsText" dxfId="708" priority="25" stopIfTrue="1" operator="containsText" text="0">
      <formula>NOT(ISERROR(SEARCH("0",K19)))</formula>
    </cfRule>
    <cfRule type="containsText" dxfId="707" priority="26" stopIfTrue="1" operator="containsText" text="1">
      <formula>NOT(ISERROR(SEARCH("1",K19)))</formula>
    </cfRule>
    <cfRule type="containsText" dxfId="706" priority="27" stopIfTrue="1" operator="containsText" text="2">
      <formula>NOT(ISERROR(SEARCH("2",K19)))</formula>
    </cfRule>
    <cfRule type="containsText" dxfId="705" priority="28" stopIfTrue="1" operator="containsText" text="3">
      <formula>NOT(ISERROR(SEARCH("3",K19)))</formula>
    </cfRule>
    <cfRule type="containsText" dxfId="704" priority="29" stopIfTrue="1" operator="containsText" text="4">
      <formula>NOT(ISERROR(SEARCH("4",K19)))</formula>
    </cfRule>
    <cfRule type="containsText" dxfId="703" priority="30" stopIfTrue="1" operator="containsText" text="5">
      <formula>NOT(ISERROR(SEARCH("5",K19)))</formula>
    </cfRule>
  </conditionalFormatting>
  <conditionalFormatting sqref="K29:L29">
    <cfRule type="containsText" dxfId="702" priority="19" stopIfTrue="1" operator="containsText" text="0">
      <formula>NOT(ISERROR(SEARCH("0",K29)))</formula>
    </cfRule>
    <cfRule type="containsText" dxfId="701" priority="20" stopIfTrue="1" operator="containsText" text="1">
      <formula>NOT(ISERROR(SEARCH("1",K29)))</formula>
    </cfRule>
    <cfRule type="containsText" dxfId="700" priority="21" stopIfTrue="1" operator="containsText" text="2">
      <formula>NOT(ISERROR(SEARCH("2",K29)))</formula>
    </cfRule>
    <cfRule type="containsText" dxfId="699" priority="22" stopIfTrue="1" operator="containsText" text="3">
      <formula>NOT(ISERROR(SEARCH("3",K29)))</formula>
    </cfRule>
    <cfRule type="containsText" dxfId="698" priority="23" stopIfTrue="1" operator="containsText" text="4">
      <formula>NOT(ISERROR(SEARCH("4",K29)))</formula>
    </cfRule>
    <cfRule type="containsText" dxfId="697" priority="24" stopIfTrue="1" operator="containsText" text="5">
      <formula>NOT(ISERROR(SEARCH("5",K29)))</formula>
    </cfRule>
  </conditionalFormatting>
  <conditionalFormatting sqref="K31:L31">
    <cfRule type="containsText" dxfId="696" priority="7" stopIfTrue="1" operator="containsText" text="0">
      <formula>NOT(ISERROR(SEARCH("0",K31)))</formula>
    </cfRule>
    <cfRule type="containsText" dxfId="695" priority="8" stopIfTrue="1" operator="containsText" text="1">
      <formula>NOT(ISERROR(SEARCH("1",K31)))</formula>
    </cfRule>
    <cfRule type="containsText" dxfId="694" priority="9" stopIfTrue="1" operator="containsText" text="2">
      <formula>NOT(ISERROR(SEARCH("2",K31)))</formula>
    </cfRule>
    <cfRule type="containsText" dxfId="693" priority="10" stopIfTrue="1" operator="containsText" text="3">
      <formula>NOT(ISERROR(SEARCH("3",K31)))</formula>
    </cfRule>
    <cfRule type="containsText" dxfId="692" priority="11" stopIfTrue="1" operator="containsText" text="4">
      <formula>NOT(ISERROR(SEARCH("4",K31)))</formula>
    </cfRule>
    <cfRule type="containsText" dxfId="691" priority="12" stopIfTrue="1" operator="containsText" text="5">
      <formula>NOT(ISERROR(SEARCH("5",K31)))</formula>
    </cfRule>
  </conditionalFormatting>
  <conditionalFormatting sqref="K32:L32">
    <cfRule type="containsText" dxfId="690" priority="1" stopIfTrue="1" operator="containsText" text="0">
      <formula>NOT(ISERROR(SEARCH("0",K32)))</formula>
    </cfRule>
    <cfRule type="containsText" dxfId="689" priority="2" stopIfTrue="1" operator="containsText" text="1">
      <formula>NOT(ISERROR(SEARCH("1",K32)))</formula>
    </cfRule>
    <cfRule type="containsText" dxfId="688" priority="3" stopIfTrue="1" operator="containsText" text="2">
      <formula>NOT(ISERROR(SEARCH("2",K32)))</formula>
    </cfRule>
    <cfRule type="containsText" dxfId="687" priority="4" stopIfTrue="1" operator="containsText" text="3">
      <formula>NOT(ISERROR(SEARCH("3",K32)))</formula>
    </cfRule>
    <cfRule type="containsText" dxfId="686" priority="5" stopIfTrue="1" operator="containsText" text="4">
      <formula>NOT(ISERROR(SEARCH("4",K32)))</formula>
    </cfRule>
    <cfRule type="containsText" dxfId="685" priority="6" stopIfTrue="1" operator="containsText" text="5">
      <formula>NOT(ISERROR(SEARCH("5",K32)))</formula>
    </cfRule>
  </conditionalFormatting>
  <printOptions horizontalCentere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AddTargetLateral">
                <anchor moveWithCells="1" sizeWithCells="1">
                  <from>
                    <xdr:col>12</xdr:col>
                    <xdr:colOff>57150</xdr:colOff>
                    <xdr:row>5</xdr:row>
                    <xdr:rowOff>12700</xdr:rowOff>
                  </from>
                  <to>
                    <xdr:col>15</xdr:col>
                    <xdr:colOff>514350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AddrowTL">
                <anchor moveWithCells="1" sizeWithCells="1">
                  <from>
                    <xdr:col>12</xdr:col>
                    <xdr:colOff>50800</xdr:colOff>
                    <xdr:row>0</xdr:row>
                    <xdr:rowOff>50800</xdr:rowOff>
                  </from>
                  <to>
                    <xdr:col>15</xdr:col>
                    <xdr:colOff>508000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Button 3">
              <controlPr defaultSize="0" print="0" autoFill="0" autoPict="0" macro="[0]!DeleteRowTL">
                <anchor moveWithCells="1" sizeWithCells="1">
                  <from>
                    <xdr:col>12</xdr:col>
                    <xdr:colOff>57150</xdr:colOff>
                    <xdr:row>1</xdr:row>
                    <xdr:rowOff>152400</xdr:rowOff>
                  </from>
                  <to>
                    <xdr:col>15</xdr:col>
                    <xdr:colOff>514350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>
    <pageSetUpPr fitToPage="1"/>
  </sheetPr>
  <dimension ref="A1:Y61"/>
  <sheetViews>
    <sheetView topLeftCell="A12" zoomScaleNormal="100" workbookViewId="0">
      <selection activeCell="E26" sqref="E26:J26"/>
    </sheetView>
  </sheetViews>
  <sheetFormatPr defaultRowHeight="12.5"/>
  <cols>
    <col min="1" max="1" width="7.453125" customWidth="1"/>
    <col min="2" max="2" width="8.54296875" customWidth="1"/>
    <col min="3" max="12" width="7.453125" customWidth="1"/>
    <col min="13" max="13" width="9.1796875" style="23"/>
    <col min="17" max="22" width="15.7265625" customWidth="1"/>
  </cols>
  <sheetData>
    <row r="1" spans="1:25" s="15" customFormat="1" ht="23">
      <c r="A1" s="350" t="s">
        <v>105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160"/>
      <c r="N1" s="161"/>
      <c r="O1" s="161"/>
      <c r="P1" s="161"/>
      <c r="Q1"/>
      <c r="R1" s="127" t="s">
        <v>128</v>
      </c>
      <c r="S1" s="127"/>
      <c r="T1" s="127"/>
      <c r="U1"/>
      <c r="W1"/>
      <c r="X1"/>
      <c r="Y1"/>
    </row>
    <row r="2" spans="1:25" ht="14.5">
      <c r="A2" s="412"/>
      <c r="B2" s="412"/>
      <c r="C2" s="412"/>
      <c r="D2" s="412"/>
      <c r="E2" s="412"/>
      <c r="F2" s="412"/>
      <c r="G2" s="412"/>
      <c r="H2" s="412"/>
      <c r="I2" s="412"/>
      <c r="J2" s="412"/>
      <c r="K2" s="412"/>
      <c r="L2" s="412"/>
      <c r="M2" s="162"/>
      <c r="N2" s="127"/>
      <c r="O2" s="127"/>
      <c r="P2" s="127"/>
      <c r="Q2" s="149" t="s">
        <v>126</v>
      </c>
      <c r="R2" s="126" t="s">
        <v>124</v>
      </c>
    </row>
    <row r="3" spans="1:25" ht="14.5">
      <c r="A3" s="413" t="s">
        <v>101</v>
      </c>
      <c r="B3" s="413"/>
      <c r="C3" s="413"/>
      <c r="D3" s="413"/>
      <c r="E3" s="413"/>
      <c r="F3" s="413"/>
      <c r="G3" s="413"/>
      <c r="H3" s="413"/>
      <c r="I3" s="413"/>
      <c r="J3" s="413"/>
      <c r="K3" s="413"/>
      <c r="L3" s="413"/>
      <c r="M3" s="162"/>
      <c r="N3" s="127"/>
      <c r="O3" s="127"/>
      <c r="P3" s="127"/>
      <c r="Q3" s="149" t="s">
        <v>127</v>
      </c>
      <c r="R3" s="126" t="s">
        <v>125</v>
      </c>
    </row>
    <row r="4" spans="1:25">
      <c r="A4" s="412"/>
      <c r="B4" s="412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162"/>
      <c r="N4" s="127"/>
      <c r="O4" s="127"/>
      <c r="P4" s="127"/>
    </row>
    <row r="5" spans="1:25" ht="23">
      <c r="A5" s="400" t="s">
        <v>163</v>
      </c>
      <c r="B5" s="400"/>
      <c r="C5" s="400"/>
      <c r="D5" s="400"/>
      <c r="E5" s="400"/>
      <c r="F5" s="400"/>
      <c r="G5" s="400"/>
      <c r="H5" s="400"/>
      <c r="I5" s="400"/>
      <c r="J5" s="400"/>
      <c r="K5" s="400"/>
      <c r="L5" s="400"/>
    </row>
    <row r="6" spans="1:25" ht="17.25" customHeight="1">
      <c r="A6" s="386" t="s">
        <v>85</v>
      </c>
      <c r="B6" s="386"/>
      <c r="C6" s="386"/>
      <c r="D6" s="386"/>
      <c r="E6" s="386"/>
      <c r="F6" s="386"/>
      <c r="G6" s="386"/>
      <c r="H6" s="386"/>
      <c r="I6" s="386"/>
      <c r="J6" s="386"/>
      <c r="K6" s="386"/>
      <c r="L6" s="386"/>
      <c r="Q6" s="396" t="s">
        <v>151</v>
      </c>
      <c r="R6" s="396"/>
      <c r="S6" s="396"/>
      <c r="T6" s="396"/>
      <c r="U6" s="396"/>
      <c r="V6" s="396"/>
    </row>
    <row r="7" spans="1:25" ht="13.15" customHeight="1">
      <c r="A7" s="401" t="s">
        <v>86</v>
      </c>
      <c r="B7" s="402"/>
      <c r="C7" s="403" t="s">
        <v>87</v>
      </c>
      <c r="D7" s="402"/>
      <c r="E7" s="404"/>
      <c r="F7" s="405"/>
      <c r="G7" s="405"/>
      <c r="H7" s="405"/>
      <c r="I7" s="405"/>
      <c r="J7" s="406"/>
      <c r="K7" s="407" t="s">
        <v>107</v>
      </c>
      <c r="L7" s="408"/>
      <c r="Q7" s="397" t="s">
        <v>152</v>
      </c>
      <c r="R7" s="397"/>
      <c r="S7" s="398"/>
      <c r="T7" s="399" t="s">
        <v>153</v>
      </c>
      <c r="U7" s="397"/>
      <c r="V7" s="398"/>
    </row>
    <row r="8" spans="1:25" ht="13">
      <c r="A8" s="164" t="s">
        <v>46</v>
      </c>
      <c r="B8" s="108" t="s">
        <v>47</v>
      </c>
      <c r="C8" s="108" t="s">
        <v>88</v>
      </c>
      <c r="D8" s="109" t="s">
        <v>89</v>
      </c>
      <c r="E8" s="409" t="s">
        <v>90</v>
      </c>
      <c r="F8" s="410"/>
      <c r="G8" s="410"/>
      <c r="H8" s="410"/>
      <c r="I8" s="410"/>
      <c r="J8" s="411"/>
      <c r="K8" s="410" t="s">
        <v>91</v>
      </c>
      <c r="L8" s="410"/>
      <c r="Q8" s="144" t="s">
        <v>154</v>
      </c>
      <c r="R8" s="145" t="s">
        <v>155</v>
      </c>
      <c r="S8" s="150" t="s">
        <v>156</v>
      </c>
      <c r="T8" s="151" t="s">
        <v>154</v>
      </c>
      <c r="U8" s="146" t="s">
        <v>155</v>
      </c>
      <c r="V8" s="150" t="s">
        <v>156</v>
      </c>
    </row>
    <row r="9" spans="1:25" ht="13">
      <c r="A9" s="129">
        <v>825</v>
      </c>
      <c r="B9" s="77">
        <v>890</v>
      </c>
      <c r="C9" s="134" t="s">
        <v>330</v>
      </c>
      <c r="D9" s="135" t="s">
        <v>326</v>
      </c>
      <c r="E9" s="388" t="s">
        <v>331</v>
      </c>
      <c r="F9" s="389"/>
      <c r="G9" s="389"/>
      <c r="H9" s="389"/>
      <c r="I9" s="389"/>
      <c r="J9" s="390"/>
      <c r="K9" s="391">
        <v>4</v>
      </c>
      <c r="L9" s="392"/>
      <c r="Q9" s="312"/>
      <c r="R9" s="313"/>
      <c r="S9" s="314"/>
      <c r="T9" s="315"/>
      <c r="U9" s="313"/>
      <c r="V9" s="314"/>
    </row>
    <row r="10" spans="1:25" ht="12.75" customHeight="1">
      <c r="A10" s="129">
        <f>B9</f>
        <v>890</v>
      </c>
      <c r="B10" s="77">
        <v>940</v>
      </c>
      <c r="C10" s="134" t="s">
        <v>377</v>
      </c>
      <c r="D10" s="135" t="s">
        <v>403</v>
      </c>
      <c r="E10" s="388" t="s">
        <v>404</v>
      </c>
      <c r="F10" s="389"/>
      <c r="G10" s="389"/>
      <c r="H10" s="389"/>
      <c r="I10" s="389"/>
      <c r="J10" s="390"/>
      <c r="K10" s="391">
        <v>4</v>
      </c>
      <c r="L10" s="392"/>
      <c r="N10" s="133"/>
      <c r="Q10" s="284">
        <v>825</v>
      </c>
      <c r="R10" s="77">
        <v>577.9</v>
      </c>
      <c r="S10" s="285">
        <v>111</v>
      </c>
      <c r="T10" s="152"/>
      <c r="U10" s="77"/>
      <c r="V10" s="153"/>
      <c r="W10" s="147"/>
    </row>
    <row r="11" spans="1:25" ht="12.75" customHeight="1">
      <c r="A11" s="129">
        <f t="shared" ref="A11:A34" si="0">B10</f>
        <v>940</v>
      </c>
      <c r="B11" s="77">
        <v>945</v>
      </c>
      <c r="C11" s="134" t="s">
        <v>377</v>
      </c>
      <c r="D11" s="135" t="s">
        <v>326</v>
      </c>
      <c r="E11" s="388" t="s">
        <v>406</v>
      </c>
      <c r="F11" s="389"/>
      <c r="G11" s="389"/>
      <c r="H11" s="389"/>
      <c r="I11" s="389"/>
      <c r="J11" s="390"/>
      <c r="K11" s="391">
        <v>3</v>
      </c>
      <c r="L11" s="392"/>
      <c r="N11" s="133"/>
      <c r="Q11" s="300">
        <v>900</v>
      </c>
      <c r="R11" s="77">
        <v>577.6</v>
      </c>
      <c r="S11" s="300">
        <v>111.3</v>
      </c>
      <c r="T11" s="152"/>
      <c r="U11" s="77"/>
      <c r="V11" s="153"/>
      <c r="W11" s="147"/>
    </row>
    <row r="12" spans="1:25" ht="12.75" customHeight="1">
      <c r="A12" s="129">
        <f t="shared" si="0"/>
        <v>945</v>
      </c>
      <c r="B12" s="77">
        <v>970</v>
      </c>
      <c r="C12" s="134" t="s">
        <v>377</v>
      </c>
      <c r="D12" s="135" t="s">
        <v>326</v>
      </c>
      <c r="E12" s="388" t="s">
        <v>405</v>
      </c>
      <c r="F12" s="389"/>
      <c r="G12" s="389"/>
      <c r="H12" s="389"/>
      <c r="I12" s="389"/>
      <c r="J12" s="390"/>
      <c r="K12" s="391">
        <v>4</v>
      </c>
      <c r="L12" s="392"/>
      <c r="N12" s="133"/>
      <c r="Q12" s="300">
        <v>991</v>
      </c>
      <c r="R12" s="77">
        <v>577.19999999999993</v>
      </c>
      <c r="S12" s="300">
        <v>111.7</v>
      </c>
      <c r="T12" s="152"/>
      <c r="U12" s="77"/>
      <c r="V12" s="153"/>
      <c r="W12" s="147"/>
    </row>
    <row r="13" spans="1:25" ht="26.25" customHeight="1">
      <c r="A13" s="129">
        <f t="shared" si="0"/>
        <v>970</v>
      </c>
      <c r="B13" s="77">
        <v>980</v>
      </c>
      <c r="C13" s="134" t="s">
        <v>377</v>
      </c>
      <c r="D13" s="135" t="s">
        <v>403</v>
      </c>
      <c r="E13" s="388" t="s">
        <v>406</v>
      </c>
      <c r="F13" s="389"/>
      <c r="G13" s="389"/>
      <c r="H13" s="389"/>
      <c r="I13" s="389"/>
      <c r="J13" s="390"/>
      <c r="K13" s="391">
        <v>3</v>
      </c>
      <c r="L13" s="392"/>
      <c r="N13" s="133"/>
      <c r="Q13" s="300">
        <v>1000</v>
      </c>
      <c r="R13" s="77">
        <v>577.19999999999993</v>
      </c>
      <c r="S13" s="300">
        <v>111.7</v>
      </c>
      <c r="T13" s="152"/>
      <c r="U13" s="77"/>
      <c r="V13" s="153"/>
      <c r="W13" s="147"/>
    </row>
    <row r="14" spans="1:25" ht="12.75" customHeight="1">
      <c r="A14" s="129">
        <f t="shared" si="0"/>
        <v>980</v>
      </c>
      <c r="B14" s="77">
        <v>1025</v>
      </c>
      <c r="C14" s="134" t="s">
        <v>377</v>
      </c>
      <c r="D14" s="135" t="s">
        <v>326</v>
      </c>
      <c r="E14" s="388" t="s">
        <v>408</v>
      </c>
      <c r="F14" s="389"/>
      <c r="G14" s="389"/>
      <c r="H14" s="389"/>
      <c r="I14" s="389"/>
      <c r="J14" s="390"/>
      <c r="K14" s="391">
        <v>4</v>
      </c>
      <c r="L14" s="392"/>
      <c r="N14" s="133"/>
      <c r="Q14" s="300">
        <v>1100</v>
      </c>
      <c r="R14" s="77">
        <v>577.19999999999993</v>
      </c>
      <c r="S14" s="300">
        <v>111.7</v>
      </c>
      <c r="T14" s="152"/>
      <c r="U14" s="77"/>
      <c r="V14" s="153"/>
      <c r="W14" s="147"/>
    </row>
    <row r="15" spans="1:25" ht="12.75" customHeight="1">
      <c r="A15" s="129">
        <f t="shared" si="0"/>
        <v>1025</v>
      </c>
      <c r="B15" s="77">
        <v>1070</v>
      </c>
      <c r="C15" s="134" t="s">
        <v>377</v>
      </c>
      <c r="D15" s="135" t="s">
        <v>326</v>
      </c>
      <c r="E15" s="388" t="s">
        <v>407</v>
      </c>
      <c r="F15" s="389"/>
      <c r="G15" s="389"/>
      <c r="H15" s="389"/>
      <c r="I15" s="389"/>
      <c r="J15" s="390"/>
      <c r="K15" s="391">
        <v>3</v>
      </c>
      <c r="L15" s="392"/>
      <c r="N15" s="133"/>
      <c r="Q15" s="300">
        <v>1105</v>
      </c>
      <c r="R15" s="77">
        <v>577.19999999999993</v>
      </c>
      <c r="S15" s="300">
        <v>111.7</v>
      </c>
      <c r="T15" s="152"/>
      <c r="U15" s="77"/>
      <c r="V15" s="153"/>
      <c r="W15" s="148"/>
    </row>
    <row r="16" spans="1:25" ht="25.5" customHeight="1">
      <c r="A16" s="129">
        <f t="shared" si="0"/>
        <v>1070</v>
      </c>
      <c r="B16" s="77">
        <v>1160</v>
      </c>
      <c r="C16" s="134" t="s">
        <v>377</v>
      </c>
      <c r="D16" s="135" t="s">
        <v>326</v>
      </c>
      <c r="E16" s="388" t="s">
        <v>409</v>
      </c>
      <c r="F16" s="389"/>
      <c r="G16" s="389"/>
      <c r="H16" s="389"/>
      <c r="I16" s="389"/>
      <c r="J16" s="390"/>
      <c r="K16" s="391">
        <v>4</v>
      </c>
      <c r="L16" s="392"/>
      <c r="N16" s="133"/>
      <c r="Q16" s="300">
        <v>1200</v>
      </c>
      <c r="R16" s="77">
        <v>577.19999999999993</v>
      </c>
      <c r="S16" s="300">
        <v>111.7</v>
      </c>
      <c r="T16" s="152"/>
      <c r="U16" s="77"/>
      <c r="V16" s="153"/>
      <c r="W16" s="147"/>
    </row>
    <row r="17" spans="1:23">
      <c r="A17" s="129">
        <f t="shared" si="0"/>
        <v>1160</v>
      </c>
      <c r="B17" s="77">
        <v>1270</v>
      </c>
      <c r="C17" s="134" t="s">
        <v>330</v>
      </c>
      <c r="D17" s="135" t="s">
        <v>326</v>
      </c>
      <c r="E17" s="388" t="s">
        <v>410</v>
      </c>
      <c r="F17" s="389"/>
      <c r="G17" s="389"/>
      <c r="H17" s="389"/>
      <c r="I17" s="389"/>
      <c r="J17" s="390"/>
      <c r="K17" s="391">
        <v>4</v>
      </c>
      <c r="L17" s="392"/>
      <c r="N17" s="133"/>
      <c r="Q17" s="300">
        <v>1300</v>
      </c>
      <c r="R17" s="77">
        <v>577.4</v>
      </c>
      <c r="S17" s="300">
        <v>111.5</v>
      </c>
      <c r="T17" s="152"/>
      <c r="U17" s="77"/>
      <c r="V17" s="153"/>
      <c r="W17" s="147"/>
    </row>
    <row r="18" spans="1:23" ht="12.75" customHeight="1">
      <c r="A18" s="129">
        <f t="shared" si="0"/>
        <v>1270</v>
      </c>
      <c r="B18" s="77">
        <v>1290</v>
      </c>
      <c r="C18" s="134" t="s">
        <v>377</v>
      </c>
      <c r="D18" s="135" t="s">
        <v>403</v>
      </c>
      <c r="E18" s="388" t="s">
        <v>406</v>
      </c>
      <c r="F18" s="389"/>
      <c r="G18" s="389"/>
      <c r="H18" s="389"/>
      <c r="I18" s="389"/>
      <c r="J18" s="390"/>
      <c r="K18" s="391">
        <v>3</v>
      </c>
      <c r="L18" s="392"/>
      <c r="N18" s="133"/>
      <c r="Q18" s="300">
        <v>1400</v>
      </c>
      <c r="R18" s="77">
        <v>577.4</v>
      </c>
      <c r="S18" s="300">
        <v>111.5</v>
      </c>
      <c r="T18" s="152"/>
      <c r="U18" s="77"/>
      <c r="V18" s="153"/>
      <c r="W18" s="147"/>
    </row>
    <row r="19" spans="1:23" ht="12.75" customHeight="1">
      <c r="A19" s="129">
        <f t="shared" si="0"/>
        <v>1290</v>
      </c>
      <c r="B19" s="77">
        <v>1340</v>
      </c>
      <c r="C19" s="134" t="s">
        <v>330</v>
      </c>
      <c r="D19" s="135" t="s">
        <v>326</v>
      </c>
      <c r="E19" s="388" t="s">
        <v>410</v>
      </c>
      <c r="F19" s="389"/>
      <c r="G19" s="389"/>
      <c r="H19" s="389"/>
      <c r="I19" s="389"/>
      <c r="J19" s="390"/>
      <c r="K19" s="391">
        <v>4</v>
      </c>
      <c r="L19" s="392"/>
      <c r="N19" s="133"/>
      <c r="Q19" s="300">
        <v>1500</v>
      </c>
      <c r="R19" s="77">
        <v>577.4</v>
      </c>
      <c r="S19" s="300">
        <v>111.5</v>
      </c>
      <c r="T19" s="152"/>
      <c r="U19" s="77"/>
      <c r="V19" s="153"/>
      <c r="W19" s="147"/>
    </row>
    <row r="20" spans="1:23" ht="12.75" customHeight="1">
      <c r="A20" s="129">
        <f t="shared" si="0"/>
        <v>1340</v>
      </c>
      <c r="B20" s="77">
        <v>1380</v>
      </c>
      <c r="C20" s="134" t="s">
        <v>377</v>
      </c>
      <c r="D20" s="135" t="s">
        <v>320</v>
      </c>
      <c r="E20" s="388" t="s">
        <v>406</v>
      </c>
      <c r="F20" s="389"/>
      <c r="G20" s="389"/>
      <c r="H20" s="389"/>
      <c r="I20" s="389"/>
      <c r="J20" s="390"/>
      <c r="K20" s="391">
        <v>3</v>
      </c>
      <c r="L20" s="392"/>
      <c r="N20" s="133"/>
      <c r="Q20" s="300">
        <v>1600</v>
      </c>
      <c r="R20" s="77">
        <v>577.9</v>
      </c>
      <c r="S20" s="300">
        <v>111</v>
      </c>
      <c r="T20" s="152"/>
      <c r="U20" s="77"/>
      <c r="V20" s="153"/>
      <c r="W20" s="147"/>
    </row>
    <row r="21" spans="1:23" ht="12.75" customHeight="1">
      <c r="A21" s="129">
        <f t="shared" si="0"/>
        <v>1380</v>
      </c>
      <c r="B21" s="77">
        <v>1440</v>
      </c>
      <c r="C21" s="134" t="s">
        <v>330</v>
      </c>
      <c r="D21" s="135" t="s">
        <v>326</v>
      </c>
      <c r="E21" s="388" t="s">
        <v>411</v>
      </c>
      <c r="F21" s="389"/>
      <c r="G21" s="389"/>
      <c r="H21" s="389"/>
      <c r="I21" s="389"/>
      <c r="J21" s="390"/>
      <c r="K21" s="391">
        <v>4</v>
      </c>
      <c r="L21" s="392"/>
      <c r="N21" s="133"/>
      <c r="Q21" s="300">
        <v>1700</v>
      </c>
      <c r="R21" s="77">
        <v>578.9</v>
      </c>
      <c r="S21" s="300">
        <v>110</v>
      </c>
      <c r="T21" s="152"/>
      <c r="U21" s="77"/>
      <c r="V21" s="153"/>
      <c r="W21" s="147"/>
    </row>
    <row r="22" spans="1:23" ht="22.5" customHeight="1">
      <c r="A22" s="129">
        <f t="shared" si="0"/>
        <v>1440</v>
      </c>
      <c r="B22" s="77">
        <v>1610</v>
      </c>
      <c r="C22" s="134" t="s">
        <v>330</v>
      </c>
      <c r="D22" s="135" t="s">
        <v>326</v>
      </c>
      <c r="E22" s="388" t="s">
        <v>412</v>
      </c>
      <c r="F22" s="389"/>
      <c r="G22" s="389"/>
      <c r="H22" s="389"/>
      <c r="I22" s="389"/>
      <c r="J22" s="390"/>
      <c r="K22" s="391">
        <v>4</v>
      </c>
      <c r="L22" s="392"/>
      <c r="N22" s="133"/>
      <c r="Q22" s="300">
        <v>1800</v>
      </c>
      <c r="R22" s="77">
        <v>579.9</v>
      </c>
      <c r="S22" s="300">
        <v>109</v>
      </c>
      <c r="T22" s="152"/>
      <c r="U22" s="77"/>
      <c r="V22" s="153"/>
      <c r="W22" s="147"/>
    </row>
    <row r="23" spans="1:23" ht="12.75" customHeight="1">
      <c r="A23" s="129">
        <f t="shared" si="0"/>
        <v>1610</v>
      </c>
      <c r="B23" s="77">
        <v>1730</v>
      </c>
      <c r="C23" s="134" t="s">
        <v>330</v>
      </c>
      <c r="D23" s="135" t="s">
        <v>326</v>
      </c>
      <c r="E23" s="414" t="s">
        <v>413</v>
      </c>
      <c r="F23" s="415"/>
      <c r="G23" s="415"/>
      <c r="H23" s="415"/>
      <c r="I23" s="415"/>
      <c r="J23" s="416"/>
      <c r="K23" s="391">
        <v>4</v>
      </c>
      <c r="L23" s="392"/>
      <c r="N23" s="133"/>
      <c r="Q23" s="300">
        <v>1900</v>
      </c>
      <c r="R23" s="77">
        <v>580.9</v>
      </c>
      <c r="S23" s="300">
        <v>108</v>
      </c>
      <c r="T23" s="152"/>
      <c r="U23" s="77"/>
      <c r="V23" s="153"/>
      <c r="W23" s="147"/>
    </row>
    <row r="24" spans="1:23" ht="12.75" customHeight="1">
      <c r="A24" s="129">
        <f t="shared" si="0"/>
        <v>1730</v>
      </c>
      <c r="B24" s="77">
        <v>1820</v>
      </c>
      <c r="C24" s="134" t="s">
        <v>330</v>
      </c>
      <c r="D24" s="135" t="s">
        <v>320</v>
      </c>
      <c r="E24" s="388" t="s">
        <v>414</v>
      </c>
      <c r="F24" s="389"/>
      <c r="G24" s="389"/>
      <c r="H24" s="389"/>
      <c r="I24" s="389"/>
      <c r="J24" s="390"/>
      <c r="K24" s="391">
        <v>4</v>
      </c>
      <c r="L24" s="392"/>
      <c r="N24" s="133"/>
      <c r="Q24" s="300">
        <v>2000</v>
      </c>
      <c r="R24" s="77">
        <v>580.9</v>
      </c>
      <c r="S24" s="300">
        <v>108</v>
      </c>
      <c r="T24" s="152"/>
      <c r="U24" s="77"/>
      <c r="V24" s="153"/>
      <c r="W24" s="147"/>
    </row>
    <row r="25" spans="1:23" ht="25.5" customHeight="1">
      <c r="A25" s="129">
        <f t="shared" si="0"/>
        <v>1820</v>
      </c>
      <c r="B25" s="77">
        <v>1880</v>
      </c>
      <c r="C25" s="134" t="s">
        <v>377</v>
      </c>
      <c r="D25" s="135" t="s">
        <v>320</v>
      </c>
      <c r="E25" s="388" t="s">
        <v>355</v>
      </c>
      <c r="F25" s="389"/>
      <c r="G25" s="389"/>
      <c r="H25" s="389"/>
      <c r="I25" s="389"/>
      <c r="J25" s="390"/>
      <c r="K25" s="391">
        <v>3</v>
      </c>
      <c r="L25" s="392"/>
      <c r="N25" s="133"/>
      <c r="Q25" s="300">
        <v>2100</v>
      </c>
      <c r="R25" s="77">
        <v>580.9</v>
      </c>
      <c r="S25" s="300">
        <v>108</v>
      </c>
      <c r="T25" s="152"/>
      <c r="U25" s="77"/>
      <c r="V25" s="153"/>
      <c r="W25" s="147"/>
    </row>
    <row r="26" spans="1:23" ht="18.75" customHeight="1">
      <c r="A26" s="129">
        <f t="shared" si="0"/>
        <v>1880</v>
      </c>
      <c r="B26" s="77">
        <v>2050</v>
      </c>
      <c r="C26" s="134" t="s">
        <v>330</v>
      </c>
      <c r="D26" s="135" t="s">
        <v>326</v>
      </c>
      <c r="E26" s="388" t="s">
        <v>413</v>
      </c>
      <c r="F26" s="389"/>
      <c r="G26" s="389"/>
      <c r="H26" s="389"/>
      <c r="I26" s="389"/>
      <c r="J26" s="390"/>
      <c r="K26" s="391">
        <v>4</v>
      </c>
      <c r="L26" s="392"/>
      <c r="N26" s="133"/>
      <c r="Q26" s="300">
        <v>2200</v>
      </c>
      <c r="R26" s="77">
        <v>580.9</v>
      </c>
      <c r="S26" s="300">
        <v>108</v>
      </c>
      <c r="T26" s="152"/>
      <c r="U26" s="77"/>
      <c r="V26" s="153"/>
      <c r="W26" s="147"/>
    </row>
    <row r="27" spans="1:23" ht="24.75" customHeight="1">
      <c r="A27" s="129">
        <f t="shared" si="0"/>
        <v>2050</v>
      </c>
      <c r="B27" s="77"/>
      <c r="C27" s="134"/>
      <c r="D27" s="135"/>
      <c r="E27" s="388"/>
      <c r="F27" s="389"/>
      <c r="G27" s="389"/>
      <c r="H27" s="389"/>
      <c r="I27" s="389"/>
      <c r="J27" s="390"/>
      <c r="K27" s="391"/>
      <c r="L27" s="392"/>
      <c r="N27" s="133"/>
      <c r="Q27" s="300">
        <v>2300</v>
      </c>
      <c r="R27" s="77">
        <v>580.9</v>
      </c>
      <c r="S27" s="300">
        <v>108</v>
      </c>
      <c r="T27" s="293"/>
      <c r="U27" s="77"/>
      <c r="V27" s="294"/>
      <c r="W27" s="295"/>
    </row>
    <row r="28" spans="1:23" ht="25.5" customHeight="1">
      <c r="A28" s="129">
        <f t="shared" si="0"/>
        <v>0</v>
      </c>
      <c r="B28" s="77"/>
      <c r="C28" s="134"/>
      <c r="D28" s="135"/>
      <c r="E28" s="388"/>
      <c r="F28" s="389"/>
      <c r="G28" s="389"/>
      <c r="H28" s="389"/>
      <c r="I28" s="389"/>
      <c r="J28" s="390"/>
      <c r="K28" s="391"/>
      <c r="L28" s="392"/>
      <c r="N28" s="133"/>
      <c r="Q28" s="300">
        <v>2400</v>
      </c>
      <c r="R28" s="77">
        <v>580.9</v>
      </c>
      <c r="S28" s="300">
        <v>108</v>
      </c>
      <c r="T28" s="293"/>
      <c r="U28" s="77"/>
      <c r="V28" s="294"/>
      <c r="W28" s="295"/>
    </row>
    <row r="29" spans="1:23" ht="25.5" customHeight="1">
      <c r="A29" s="129">
        <f t="shared" si="0"/>
        <v>0</v>
      </c>
      <c r="B29" s="77"/>
      <c r="C29" s="134"/>
      <c r="D29" s="135"/>
      <c r="E29" s="388"/>
      <c r="F29" s="389"/>
      <c r="G29" s="389"/>
      <c r="H29" s="389"/>
      <c r="I29" s="389"/>
      <c r="J29" s="390"/>
      <c r="K29" s="391"/>
      <c r="L29" s="392"/>
      <c r="N29" s="133"/>
      <c r="Q29" s="300">
        <v>2500</v>
      </c>
      <c r="R29" s="77">
        <v>580.9</v>
      </c>
      <c r="S29" s="300">
        <v>108</v>
      </c>
      <c r="T29" s="283"/>
      <c r="U29" s="77"/>
      <c r="V29" s="281"/>
    </row>
    <row r="30" spans="1:23" ht="20.25" customHeight="1">
      <c r="A30" s="129">
        <f t="shared" si="0"/>
        <v>0</v>
      </c>
      <c r="B30" s="77"/>
      <c r="C30" s="134"/>
      <c r="D30" s="135"/>
      <c r="E30" s="388"/>
      <c r="F30" s="389"/>
      <c r="G30" s="389"/>
      <c r="H30" s="389"/>
      <c r="I30" s="389"/>
      <c r="J30" s="390"/>
      <c r="K30" s="391"/>
      <c r="L30" s="392"/>
      <c r="N30" s="133"/>
      <c r="Q30" s="300">
        <v>2600</v>
      </c>
      <c r="R30" s="77">
        <v>581.4</v>
      </c>
      <c r="S30" s="300">
        <v>107.5</v>
      </c>
      <c r="T30" s="283"/>
      <c r="U30" s="77"/>
      <c r="V30" s="281"/>
    </row>
    <row r="31" spans="1:23" ht="21" customHeight="1">
      <c r="A31" s="129">
        <f t="shared" si="0"/>
        <v>0</v>
      </c>
      <c r="B31" s="77"/>
      <c r="C31" s="134"/>
      <c r="D31" s="135"/>
      <c r="E31" s="388"/>
      <c r="F31" s="389"/>
      <c r="G31" s="389"/>
      <c r="H31" s="389"/>
      <c r="I31" s="389"/>
      <c r="J31" s="390"/>
      <c r="K31" s="391"/>
      <c r="L31" s="392"/>
      <c r="N31" s="133"/>
      <c r="Q31" s="300">
        <v>2614</v>
      </c>
      <c r="R31" s="77">
        <v>581.6</v>
      </c>
      <c r="S31" s="300">
        <v>107.3</v>
      </c>
      <c r="T31" s="283"/>
      <c r="U31" s="77"/>
      <c r="V31" s="281"/>
    </row>
    <row r="32" spans="1:23" ht="12.75" customHeight="1">
      <c r="A32" s="129">
        <f t="shared" si="0"/>
        <v>0</v>
      </c>
      <c r="B32" s="77"/>
      <c r="C32" s="134"/>
      <c r="D32" s="135"/>
      <c r="E32" s="414"/>
      <c r="F32" s="417"/>
      <c r="G32" s="417"/>
      <c r="H32" s="417"/>
      <c r="I32" s="417"/>
      <c r="J32" s="418"/>
      <c r="K32" s="391"/>
      <c r="L32" s="392"/>
      <c r="N32" s="133"/>
      <c r="Q32" s="300"/>
      <c r="R32" s="77"/>
      <c r="S32" s="300"/>
      <c r="T32" s="283"/>
      <c r="U32" s="77"/>
      <c r="V32" s="281"/>
    </row>
    <row r="33" spans="1:22" ht="12.75" customHeight="1">
      <c r="A33" s="129">
        <f t="shared" si="0"/>
        <v>0</v>
      </c>
      <c r="B33" s="77"/>
      <c r="C33" s="134"/>
      <c r="D33" s="135"/>
      <c r="E33" s="414"/>
      <c r="F33" s="417"/>
      <c r="G33" s="417"/>
      <c r="H33" s="417"/>
      <c r="I33" s="417"/>
      <c r="J33" s="418"/>
      <c r="K33" s="391"/>
      <c r="L33" s="392"/>
      <c r="N33" s="133"/>
      <c r="Q33" s="300"/>
      <c r="R33" s="77"/>
      <c r="S33" s="300"/>
      <c r="T33" s="283"/>
      <c r="U33" s="77"/>
      <c r="V33" s="281"/>
    </row>
    <row r="34" spans="1:22" ht="12.75" customHeight="1">
      <c r="A34" s="129">
        <f t="shared" si="0"/>
        <v>0</v>
      </c>
      <c r="B34" s="77"/>
      <c r="C34" s="134"/>
      <c r="D34" s="135"/>
      <c r="E34" s="414"/>
      <c r="F34" s="417"/>
      <c r="G34" s="417"/>
      <c r="H34" s="417"/>
      <c r="I34" s="417"/>
      <c r="J34" s="418"/>
      <c r="K34" s="391"/>
      <c r="L34" s="392"/>
      <c r="N34" s="133"/>
      <c r="Q34" s="300"/>
      <c r="R34" s="77"/>
      <c r="S34" s="300"/>
      <c r="T34" s="283"/>
      <c r="U34" s="77"/>
      <c r="V34" s="281"/>
    </row>
    <row r="35" spans="1:22" ht="12.75" customHeight="1">
      <c r="A35" s="387" t="s">
        <v>97</v>
      </c>
      <c r="B35" s="387"/>
      <c r="C35" s="387"/>
      <c r="D35" s="387"/>
      <c r="E35" s="387"/>
      <c r="F35" s="387"/>
      <c r="G35" s="387"/>
      <c r="H35" s="387"/>
      <c r="I35" s="387"/>
      <c r="J35" s="387"/>
      <c r="K35" s="387"/>
      <c r="L35" s="387"/>
      <c r="Q35" s="300"/>
      <c r="R35" s="77"/>
      <c r="S35" s="300"/>
    </row>
    <row r="36" spans="1:22" ht="12.75" customHeight="1">
      <c r="A36" s="110">
        <v>5</v>
      </c>
      <c r="B36" s="419"/>
      <c r="C36" s="420"/>
      <c r="D36" s="420"/>
      <c r="E36" s="420"/>
      <c r="F36" s="420"/>
      <c r="G36" s="420"/>
      <c r="H36" s="420"/>
      <c r="I36" s="420"/>
      <c r="J36" s="420"/>
      <c r="K36" s="420"/>
      <c r="L36" s="420"/>
      <c r="Q36" s="300"/>
      <c r="R36" s="77"/>
      <c r="S36" s="300"/>
    </row>
    <row r="37" spans="1:22" ht="12.75" customHeight="1">
      <c r="A37" s="110">
        <v>4</v>
      </c>
      <c r="B37" s="419"/>
      <c r="C37" s="420"/>
      <c r="D37" s="420"/>
      <c r="E37" s="420"/>
      <c r="F37" s="420"/>
      <c r="G37" s="420"/>
      <c r="H37" s="420"/>
      <c r="I37" s="420"/>
      <c r="J37" s="420"/>
      <c r="K37" s="420"/>
      <c r="L37" s="420"/>
      <c r="Q37" s="300"/>
      <c r="R37" s="77"/>
      <c r="S37" s="300"/>
    </row>
    <row r="38" spans="1:22" ht="12.75" customHeight="1">
      <c r="A38" s="110">
        <v>3</v>
      </c>
      <c r="B38" s="419"/>
      <c r="C38" s="420"/>
      <c r="D38" s="420"/>
      <c r="E38" s="420"/>
      <c r="F38" s="420"/>
      <c r="G38" s="420"/>
      <c r="H38" s="420"/>
      <c r="I38" s="420"/>
      <c r="J38" s="420"/>
      <c r="K38" s="420"/>
      <c r="L38" s="420"/>
      <c r="Q38" s="302"/>
      <c r="R38" s="77"/>
      <c r="S38" s="281"/>
    </row>
    <row r="39" spans="1:22" ht="12.75" customHeight="1">
      <c r="A39" s="110">
        <v>2</v>
      </c>
      <c r="B39" s="419"/>
      <c r="C39" s="420"/>
      <c r="D39" s="420"/>
      <c r="E39" s="420"/>
      <c r="F39" s="420"/>
      <c r="G39" s="420"/>
      <c r="H39" s="420"/>
      <c r="I39" s="420"/>
      <c r="J39" s="420"/>
      <c r="K39" s="420"/>
      <c r="L39" s="420"/>
      <c r="Q39" s="302"/>
      <c r="R39" s="77"/>
      <c r="S39" s="281"/>
    </row>
    <row r="40" spans="1:22" ht="12.75" customHeight="1">
      <c r="A40" s="110">
        <v>1</v>
      </c>
      <c r="B40" s="383"/>
      <c r="C40" s="384"/>
      <c r="D40" s="384"/>
      <c r="E40" s="384"/>
      <c r="F40" s="384"/>
      <c r="G40" s="384"/>
      <c r="H40" s="384"/>
      <c r="I40" s="384"/>
      <c r="J40" s="384"/>
      <c r="K40" s="384"/>
      <c r="L40" s="385"/>
      <c r="Q40" s="302"/>
      <c r="R40" s="77"/>
      <c r="S40" s="281"/>
    </row>
    <row r="41" spans="1:22" ht="12.75" customHeight="1">
      <c r="A41" s="110">
        <v>0</v>
      </c>
      <c r="B41" s="383"/>
      <c r="C41" s="384"/>
      <c r="D41" s="384"/>
      <c r="E41" s="384"/>
      <c r="F41" s="384"/>
      <c r="G41" s="384"/>
      <c r="H41" s="384"/>
      <c r="I41" s="384"/>
      <c r="J41" s="384"/>
      <c r="K41" s="384"/>
      <c r="L41" s="385"/>
      <c r="Q41" s="302"/>
      <c r="R41" s="77"/>
      <c r="S41" s="281"/>
    </row>
    <row r="42" spans="1:22" ht="12.75" customHeight="1">
      <c r="A42" s="381"/>
      <c r="B42" s="382"/>
      <c r="C42" s="382"/>
      <c r="D42" s="382"/>
      <c r="E42" s="382"/>
      <c r="F42" s="382"/>
      <c r="G42" s="382"/>
      <c r="H42" s="382"/>
      <c r="I42" s="382"/>
      <c r="J42" s="382"/>
      <c r="K42" s="382"/>
      <c r="L42" s="382"/>
      <c r="Q42" s="302"/>
      <c r="R42" s="77"/>
      <c r="S42" s="281"/>
    </row>
    <row r="43" spans="1:22" ht="12.75" customHeight="1">
      <c r="A43" s="387" t="s">
        <v>161</v>
      </c>
      <c r="B43" s="387"/>
      <c r="C43" s="387"/>
      <c r="D43" s="387"/>
      <c r="E43" s="387"/>
      <c r="F43" s="387"/>
      <c r="G43" s="387"/>
      <c r="H43" s="387"/>
      <c r="I43" s="387"/>
      <c r="J43" s="387"/>
      <c r="K43" s="387"/>
      <c r="L43" s="387"/>
    </row>
    <row r="44" spans="1:22" ht="12.75" customHeight="1">
      <c r="A44" s="394"/>
      <c r="B44" s="394"/>
      <c r="C44" s="394"/>
      <c r="D44" s="394"/>
      <c r="E44" s="394"/>
      <c r="F44" s="394"/>
      <c r="G44" s="394"/>
      <c r="H44" s="394"/>
      <c r="I44" s="394"/>
      <c r="J44" s="394"/>
      <c r="K44" s="394"/>
      <c r="L44" s="394"/>
    </row>
    <row r="45" spans="1:22" ht="12.75" customHeight="1">
      <c r="A45" s="395"/>
      <c r="B45" s="395"/>
      <c r="C45" s="395"/>
      <c r="D45" s="395"/>
      <c r="E45" s="395"/>
      <c r="F45" s="395"/>
      <c r="G45" s="395"/>
      <c r="H45" s="395"/>
      <c r="I45" s="395"/>
      <c r="J45" s="395"/>
      <c r="K45" s="395"/>
      <c r="L45" s="395"/>
    </row>
    <row r="46" spans="1:22" ht="12.75" customHeight="1">
      <c r="A46" s="384"/>
      <c r="B46" s="384"/>
      <c r="C46" s="384"/>
      <c r="D46" s="384"/>
      <c r="E46" s="384"/>
      <c r="F46" s="384"/>
      <c r="G46" s="384"/>
      <c r="H46" s="384"/>
      <c r="I46" s="384"/>
      <c r="J46" s="384"/>
      <c r="K46" s="384"/>
      <c r="L46" s="384"/>
    </row>
    <row r="47" spans="1:22" ht="12.75" customHeight="1">
      <c r="A47" s="384"/>
      <c r="B47" s="384"/>
      <c r="C47" s="384"/>
      <c r="D47" s="384"/>
      <c r="E47" s="384"/>
      <c r="F47" s="384"/>
      <c r="G47" s="384"/>
      <c r="H47" s="384"/>
      <c r="I47" s="384"/>
      <c r="J47" s="384"/>
      <c r="K47" s="384"/>
      <c r="L47" s="384"/>
    </row>
    <row r="48" spans="1:22" ht="12.75" customHeight="1">
      <c r="A48" s="384"/>
      <c r="B48" s="384"/>
      <c r="C48" s="384"/>
      <c r="D48" s="384"/>
      <c r="E48" s="384"/>
      <c r="F48" s="384"/>
      <c r="G48" s="384"/>
      <c r="H48" s="384"/>
      <c r="I48" s="384"/>
      <c r="J48" s="384"/>
      <c r="K48" s="384"/>
      <c r="L48" s="384"/>
    </row>
    <row r="49" spans="1:12" ht="12.75" customHeight="1">
      <c r="A49" s="384"/>
      <c r="B49" s="384"/>
      <c r="C49" s="384"/>
      <c r="D49" s="384"/>
      <c r="E49" s="384"/>
      <c r="F49" s="384"/>
      <c r="G49" s="384"/>
      <c r="H49" s="384"/>
      <c r="I49" s="384"/>
      <c r="J49" s="384"/>
      <c r="K49" s="384"/>
      <c r="L49" s="384"/>
    </row>
    <row r="50" spans="1:12" ht="12.75" customHeight="1">
      <c r="A50" s="393"/>
      <c r="B50" s="393"/>
      <c r="C50" s="393"/>
      <c r="D50" s="393"/>
      <c r="E50" s="393"/>
      <c r="F50" s="393"/>
      <c r="G50" s="393"/>
      <c r="H50" s="393"/>
      <c r="I50" s="393"/>
      <c r="J50" s="393"/>
      <c r="K50" s="393"/>
      <c r="L50" s="393"/>
    </row>
    <row r="51" spans="1:12" ht="12.75" customHeight="1"/>
    <row r="52" spans="1:12" ht="12.75" customHeight="1"/>
    <row r="53" spans="1:12" ht="12.75" customHeight="1"/>
    <row r="54" spans="1:12" ht="12.75" customHeight="1"/>
    <row r="55" spans="1:12" ht="12.75" customHeight="1"/>
    <row r="56" spans="1:12" ht="12.75" customHeight="1"/>
    <row r="57" spans="1:12" ht="12.75" customHeight="1"/>
    <row r="58" spans="1:12" ht="12.75" customHeight="1"/>
    <row r="59" spans="1:12" ht="12.75" customHeight="1"/>
    <row r="60" spans="1:12" ht="12.75" customHeight="1"/>
    <row r="61" spans="1:12" ht="12.75" customHeight="1"/>
  </sheetData>
  <sheetProtection formatCells="0"/>
  <mergeCells count="83">
    <mergeCell ref="E34:J34"/>
    <mergeCell ref="K34:L34"/>
    <mergeCell ref="E19:J19"/>
    <mergeCell ref="K19:L19"/>
    <mergeCell ref="E20:J20"/>
    <mergeCell ref="K20:L20"/>
    <mergeCell ref="E22:J22"/>
    <mergeCell ref="K22:L22"/>
    <mergeCell ref="E23:J23"/>
    <mergeCell ref="K23:L23"/>
    <mergeCell ref="E24:J24"/>
    <mergeCell ref="K24:L24"/>
    <mergeCell ref="E25:J25"/>
    <mergeCell ref="K25:L25"/>
    <mergeCell ref="E28:J28"/>
    <mergeCell ref="K28:L28"/>
    <mergeCell ref="E15:J15"/>
    <mergeCell ref="K15:L15"/>
    <mergeCell ref="E16:J16"/>
    <mergeCell ref="K16:L16"/>
    <mergeCell ref="E29:J29"/>
    <mergeCell ref="K29:L29"/>
    <mergeCell ref="E17:J17"/>
    <mergeCell ref="K17:L17"/>
    <mergeCell ref="E18:J18"/>
    <mergeCell ref="K18:L18"/>
    <mergeCell ref="E21:J21"/>
    <mergeCell ref="K21:L21"/>
    <mergeCell ref="E26:J26"/>
    <mergeCell ref="K26:L26"/>
    <mergeCell ref="E27:J27"/>
    <mergeCell ref="K27:L27"/>
    <mergeCell ref="A1:L1"/>
    <mergeCell ref="A2:L2"/>
    <mergeCell ref="A3:L3"/>
    <mergeCell ref="A4:L4"/>
    <mergeCell ref="A5:L5"/>
    <mergeCell ref="E13:J13"/>
    <mergeCell ref="K13:L13"/>
    <mergeCell ref="E14:J14"/>
    <mergeCell ref="E8:J8"/>
    <mergeCell ref="K8:L8"/>
    <mergeCell ref="K10:L10"/>
    <mergeCell ref="E11:J11"/>
    <mergeCell ref="K11:L11"/>
    <mergeCell ref="E12:J12"/>
    <mergeCell ref="K12:L12"/>
    <mergeCell ref="E9:J9"/>
    <mergeCell ref="K9:L9"/>
    <mergeCell ref="E10:J10"/>
    <mergeCell ref="K14:L14"/>
    <mergeCell ref="Q6:V6"/>
    <mergeCell ref="A7:B7"/>
    <mergeCell ref="C7:D7"/>
    <mergeCell ref="E7:J7"/>
    <mergeCell ref="K7:L7"/>
    <mergeCell ref="Q7:S7"/>
    <mergeCell ref="T7:V7"/>
    <mergeCell ref="A6:L6"/>
    <mergeCell ref="B38:L38"/>
    <mergeCell ref="A35:L35"/>
    <mergeCell ref="B36:L36"/>
    <mergeCell ref="B37:L37"/>
    <mergeCell ref="A50:L50"/>
    <mergeCell ref="B39:L39"/>
    <mergeCell ref="B40:L40"/>
    <mergeCell ref="B41:L41"/>
    <mergeCell ref="A42:L42"/>
    <mergeCell ref="A43:L43"/>
    <mergeCell ref="A44:L44"/>
    <mergeCell ref="A45:L45"/>
    <mergeCell ref="A46:L46"/>
    <mergeCell ref="A47:L47"/>
    <mergeCell ref="A48:L48"/>
    <mergeCell ref="A49:L49"/>
    <mergeCell ref="E30:J30"/>
    <mergeCell ref="K30:L30"/>
    <mergeCell ref="E33:J33"/>
    <mergeCell ref="K33:L33"/>
    <mergeCell ref="E32:J32"/>
    <mergeCell ref="K32:L32"/>
    <mergeCell ref="E31:J31"/>
    <mergeCell ref="K31:L31"/>
  </mergeCells>
  <conditionalFormatting sqref="A36:A41 K28:L29 K34:L34">
    <cfRule type="containsText" dxfId="684" priority="967" stopIfTrue="1" operator="containsText" text="0">
      <formula>NOT(ISERROR(SEARCH("0",A28)))</formula>
    </cfRule>
    <cfRule type="containsText" dxfId="683" priority="968" stopIfTrue="1" operator="containsText" text="1">
      <formula>NOT(ISERROR(SEARCH("1",A28)))</formula>
    </cfRule>
    <cfRule type="containsText" dxfId="682" priority="969" stopIfTrue="1" operator="containsText" text="2">
      <formula>NOT(ISERROR(SEARCH("2",A28)))</formula>
    </cfRule>
    <cfRule type="containsText" dxfId="681" priority="970" stopIfTrue="1" operator="containsText" text="3">
      <formula>NOT(ISERROR(SEARCH("3",A28)))</formula>
    </cfRule>
    <cfRule type="containsText" dxfId="680" priority="971" stopIfTrue="1" operator="containsText" text="4">
      <formula>NOT(ISERROR(SEARCH("4",A28)))</formula>
    </cfRule>
    <cfRule type="containsText" dxfId="679" priority="972" stopIfTrue="1" operator="containsText" text="5">
      <formula>NOT(ISERROR(SEARCH("5",A28)))</formula>
    </cfRule>
  </conditionalFormatting>
  <conditionalFormatting sqref="K25:L25">
    <cfRule type="containsText" dxfId="678" priority="301" stopIfTrue="1" operator="containsText" text="0">
      <formula>NOT(ISERROR(SEARCH("0",K25)))</formula>
    </cfRule>
    <cfRule type="containsText" dxfId="677" priority="302" stopIfTrue="1" operator="containsText" text="1">
      <formula>NOT(ISERROR(SEARCH("1",K25)))</formula>
    </cfRule>
    <cfRule type="containsText" dxfId="676" priority="303" stopIfTrue="1" operator="containsText" text="2">
      <formula>NOT(ISERROR(SEARCH("2",K25)))</formula>
    </cfRule>
    <cfRule type="containsText" dxfId="675" priority="304" stopIfTrue="1" operator="containsText" text="3">
      <formula>NOT(ISERROR(SEARCH("3",K25)))</formula>
    </cfRule>
    <cfRule type="containsText" dxfId="674" priority="305" stopIfTrue="1" operator="containsText" text="4">
      <formula>NOT(ISERROR(SEARCH("4",K25)))</formula>
    </cfRule>
    <cfRule type="containsText" dxfId="673" priority="306" stopIfTrue="1" operator="containsText" text="5">
      <formula>NOT(ISERROR(SEARCH("5",K25)))</formula>
    </cfRule>
  </conditionalFormatting>
  <conditionalFormatting sqref="K10:L10">
    <cfRule type="containsText" dxfId="672" priority="169" stopIfTrue="1" operator="containsText" text="0">
      <formula>NOT(ISERROR(SEARCH("0",K10)))</formula>
    </cfRule>
    <cfRule type="containsText" dxfId="671" priority="170" stopIfTrue="1" operator="containsText" text="1">
      <formula>NOT(ISERROR(SEARCH("1",K10)))</formula>
    </cfRule>
    <cfRule type="containsText" dxfId="670" priority="171" stopIfTrue="1" operator="containsText" text="2">
      <formula>NOT(ISERROR(SEARCH("2",K10)))</formula>
    </cfRule>
    <cfRule type="containsText" dxfId="669" priority="172" stopIfTrue="1" operator="containsText" text="3">
      <formula>NOT(ISERROR(SEARCH("3",K10)))</formula>
    </cfRule>
    <cfRule type="containsText" dxfId="668" priority="173" stopIfTrue="1" operator="containsText" text="4">
      <formula>NOT(ISERROR(SEARCH("4",K10)))</formula>
    </cfRule>
    <cfRule type="containsText" dxfId="667" priority="174" stopIfTrue="1" operator="containsText" text="5">
      <formula>NOT(ISERROR(SEARCH("5",K10)))</formula>
    </cfRule>
  </conditionalFormatting>
  <conditionalFormatting sqref="K24:L24">
    <cfRule type="containsText" dxfId="666" priority="205" stopIfTrue="1" operator="containsText" text="0">
      <formula>NOT(ISERROR(SEARCH("0",K24)))</formula>
    </cfRule>
    <cfRule type="containsText" dxfId="665" priority="206" stopIfTrue="1" operator="containsText" text="1">
      <formula>NOT(ISERROR(SEARCH("1",K24)))</formula>
    </cfRule>
    <cfRule type="containsText" dxfId="664" priority="207" stopIfTrue="1" operator="containsText" text="2">
      <formula>NOT(ISERROR(SEARCH("2",K24)))</formula>
    </cfRule>
    <cfRule type="containsText" dxfId="663" priority="208" stopIfTrue="1" operator="containsText" text="3">
      <formula>NOT(ISERROR(SEARCH("3",K24)))</formula>
    </cfRule>
    <cfRule type="containsText" dxfId="662" priority="209" stopIfTrue="1" operator="containsText" text="4">
      <formula>NOT(ISERROR(SEARCH("4",K24)))</formula>
    </cfRule>
    <cfRule type="containsText" dxfId="661" priority="210" stopIfTrue="1" operator="containsText" text="5">
      <formula>NOT(ISERROR(SEARCH("5",K24)))</formula>
    </cfRule>
  </conditionalFormatting>
  <conditionalFormatting sqref="K23:L23">
    <cfRule type="containsText" dxfId="660" priority="97" stopIfTrue="1" operator="containsText" text="0">
      <formula>NOT(ISERROR(SEARCH("0",K23)))</formula>
    </cfRule>
    <cfRule type="containsText" dxfId="659" priority="98" stopIfTrue="1" operator="containsText" text="1">
      <formula>NOT(ISERROR(SEARCH("1",K23)))</formula>
    </cfRule>
    <cfRule type="containsText" dxfId="658" priority="99" stopIfTrue="1" operator="containsText" text="2">
      <formula>NOT(ISERROR(SEARCH("2",K23)))</formula>
    </cfRule>
    <cfRule type="containsText" dxfId="657" priority="100" stopIfTrue="1" operator="containsText" text="3">
      <formula>NOT(ISERROR(SEARCH("3",K23)))</formula>
    </cfRule>
    <cfRule type="containsText" dxfId="656" priority="101" stopIfTrue="1" operator="containsText" text="4">
      <formula>NOT(ISERROR(SEARCH("4",K23)))</formula>
    </cfRule>
    <cfRule type="containsText" dxfId="655" priority="102" stopIfTrue="1" operator="containsText" text="5">
      <formula>NOT(ISERROR(SEARCH("5",K23)))</formula>
    </cfRule>
  </conditionalFormatting>
  <conditionalFormatting sqref="K26:L26">
    <cfRule type="containsText" dxfId="654" priority="85" stopIfTrue="1" operator="containsText" text="0">
      <formula>NOT(ISERROR(SEARCH("0",K26)))</formula>
    </cfRule>
    <cfRule type="containsText" dxfId="653" priority="86" stopIfTrue="1" operator="containsText" text="1">
      <formula>NOT(ISERROR(SEARCH("1",K26)))</formula>
    </cfRule>
    <cfRule type="containsText" dxfId="652" priority="87" stopIfTrue="1" operator="containsText" text="2">
      <formula>NOT(ISERROR(SEARCH("2",K26)))</formula>
    </cfRule>
    <cfRule type="containsText" dxfId="651" priority="88" stopIfTrue="1" operator="containsText" text="3">
      <formula>NOT(ISERROR(SEARCH("3",K26)))</formula>
    </cfRule>
    <cfRule type="containsText" dxfId="650" priority="89" stopIfTrue="1" operator="containsText" text="4">
      <formula>NOT(ISERROR(SEARCH("4",K26)))</formula>
    </cfRule>
    <cfRule type="containsText" dxfId="649" priority="90" stopIfTrue="1" operator="containsText" text="5">
      <formula>NOT(ISERROR(SEARCH("5",K26)))</formula>
    </cfRule>
  </conditionalFormatting>
  <conditionalFormatting sqref="K27:L27">
    <cfRule type="containsText" dxfId="648" priority="79" stopIfTrue="1" operator="containsText" text="0">
      <formula>NOT(ISERROR(SEARCH("0",K27)))</formula>
    </cfRule>
    <cfRule type="containsText" dxfId="647" priority="80" stopIfTrue="1" operator="containsText" text="1">
      <formula>NOT(ISERROR(SEARCH("1",K27)))</formula>
    </cfRule>
    <cfRule type="containsText" dxfId="646" priority="81" stopIfTrue="1" operator="containsText" text="2">
      <formula>NOT(ISERROR(SEARCH("2",K27)))</formula>
    </cfRule>
    <cfRule type="containsText" dxfId="645" priority="82" stopIfTrue="1" operator="containsText" text="3">
      <formula>NOT(ISERROR(SEARCH("3",K27)))</formula>
    </cfRule>
    <cfRule type="containsText" dxfId="644" priority="83" stopIfTrue="1" operator="containsText" text="4">
      <formula>NOT(ISERROR(SEARCH("4",K27)))</formula>
    </cfRule>
    <cfRule type="containsText" dxfId="643" priority="84" stopIfTrue="1" operator="containsText" text="5">
      <formula>NOT(ISERROR(SEARCH("5",K27)))</formula>
    </cfRule>
  </conditionalFormatting>
  <conditionalFormatting sqref="K14:L14">
    <cfRule type="containsText" dxfId="642" priority="151" stopIfTrue="1" operator="containsText" text="0">
      <formula>NOT(ISERROR(SEARCH("0",K14)))</formula>
    </cfRule>
    <cfRule type="containsText" dxfId="641" priority="152" stopIfTrue="1" operator="containsText" text="1">
      <formula>NOT(ISERROR(SEARCH("1",K14)))</formula>
    </cfRule>
    <cfRule type="containsText" dxfId="640" priority="153" stopIfTrue="1" operator="containsText" text="2">
      <formula>NOT(ISERROR(SEARCH("2",K14)))</formula>
    </cfRule>
    <cfRule type="containsText" dxfId="639" priority="154" stopIfTrue="1" operator="containsText" text="3">
      <formula>NOT(ISERROR(SEARCH("3",K14)))</formula>
    </cfRule>
    <cfRule type="containsText" dxfId="638" priority="155" stopIfTrue="1" operator="containsText" text="4">
      <formula>NOT(ISERROR(SEARCH("4",K14)))</formula>
    </cfRule>
    <cfRule type="containsText" dxfId="637" priority="156" stopIfTrue="1" operator="containsText" text="5">
      <formula>NOT(ISERROR(SEARCH("5",K14)))</formula>
    </cfRule>
  </conditionalFormatting>
  <conditionalFormatting sqref="K20:L20">
    <cfRule type="containsText" dxfId="636" priority="115" stopIfTrue="1" operator="containsText" text="0">
      <formula>NOT(ISERROR(SEARCH("0",K20)))</formula>
    </cfRule>
    <cfRule type="containsText" dxfId="635" priority="116" stopIfTrue="1" operator="containsText" text="1">
      <formula>NOT(ISERROR(SEARCH("1",K20)))</formula>
    </cfRule>
    <cfRule type="containsText" dxfId="634" priority="117" stopIfTrue="1" operator="containsText" text="2">
      <formula>NOT(ISERROR(SEARCH("2",K20)))</formula>
    </cfRule>
    <cfRule type="containsText" dxfId="633" priority="118" stopIfTrue="1" operator="containsText" text="3">
      <formula>NOT(ISERROR(SEARCH("3",K20)))</formula>
    </cfRule>
    <cfRule type="containsText" dxfId="632" priority="119" stopIfTrue="1" operator="containsText" text="4">
      <formula>NOT(ISERROR(SEARCH("4",K20)))</formula>
    </cfRule>
    <cfRule type="containsText" dxfId="631" priority="120" stopIfTrue="1" operator="containsText" text="5">
      <formula>NOT(ISERROR(SEARCH("5",K20)))</formula>
    </cfRule>
  </conditionalFormatting>
  <conditionalFormatting sqref="K21:L21">
    <cfRule type="containsText" dxfId="630" priority="109" stopIfTrue="1" operator="containsText" text="0">
      <formula>NOT(ISERROR(SEARCH("0",K21)))</formula>
    </cfRule>
    <cfRule type="containsText" dxfId="629" priority="110" stopIfTrue="1" operator="containsText" text="1">
      <formula>NOT(ISERROR(SEARCH("1",K21)))</formula>
    </cfRule>
    <cfRule type="containsText" dxfId="628" priority="111" stopIfTrue="1" operator="containsText" text="2">
      <formula>NOT(ISERROR(SEARCH("2",K21)))</formula>
    </cfRule>
    <cfRule type="containsText" dxfId="627" priority="112" stopIfTrue="1" operator="containsText" text="3">
      <formula>NOT(ISERROR(SEARCH("3",K21)))</formula>
    </cfRule>
    <cfRule type="containsText" dxfId="626" priority="113" stopIfTrue="1" operator="containsText" text="4">
      <formula>NOT(ISERROR(SEARCH("4",K21)))</formula>
    </cfRule>
    <cfRule type="containsText" dxfId="625" priority="114" stopIfTrue="1" operator="containsText" text="5">
      <formula>NOT(ISERROR(SEARCH("5",K21)))</formula>
    </cfRule>
  </conditionalFormatting>
  <conditionalFormatting sqref="K22:L22">
    <cfRule type="containsText" dxfId="624" priority="103" stopIfTrue="1" operator="containsText" text="0">
      <formula>NOT(ISERROR(SEARCH("0",K22)))</formula>
    </cfRule>
    <cfRule type="containsText" dxfId="623" priority="104" stopIfTrue="1" operator="containsText" text="1">
      <formula>NOT(ISERROR(SEARCH("1",K22)))</formula>
    </cfRule>
    <cfRule type="containsText" dxfId="622" priority="105" stopIfTrue="1" operator="containsText" text="2">
      <formula>NOT(ISERROR(SEARCH("2",K22)))</formula>
    </cfRule>
    <cfRule type="containsText" dxfId="621" priority="106" stopIfTrue="1" operator="containsText" text="3">
      <formula>NOT(ISERROR(SEARCH("3",K22)))</formula>
    </cfRule>
    <cfRule type="containsText" dxfId="620" priority="107" stopIfTrue="1" operator="containsText" text="4">
      <formula>NOT(ISERROR(SEARCH("4",K22)))</formula>
    </cfRule>
    <cfRule type="containsText" dxfId="619" priority="108" stopIfTrue="1" operator="containsText" text="5">
      <formula>NOT(ISERROR(SEARCH("5",K22)))</formula>
    </cfRule>
  </conditionalFormatting>
  <conditionalFormatting sqref="K33:L33">
    <cfRule type="containsText" dxfId="618" priority="73" stopIfTrue="1" operator="containsText" text="0">
      <formula>NOT(ISERROR(SEARCH("0",K33)))</formula>
    </cfRule>
    <cfRule type="containsText" dxfId="617" priority="74" stopIfTrue="1" operator="containsText" text="1">
      <formula>NOT(ISERROR(SEARCH("1",K33)))</formula>
    </cfRule>
    <cfRule type="containsText" dxfId="616" priority="75" stopIfTrue="1" operator="containsText" text="2">
      <formula>NOT(ISERROR(SEARCH("2",K33)))</formula>
    </cfRule>
    <cfRule type="containsText" dxfId="615" priority="76" stopIfTrue="1" operator="containsText" text="3">
      <formula>NOT(ISERROR(SEARCH("3",K33)))</formula>
    </cfRule>
    <cfRule type="containsText" dxfId="614" priority="77" stopIfTrue="1" operator="containsText" text="4">
      <formula>NOT(ISERROR(SEARCH("4",K33)))</formula>
    </cfRule>
    <cfRule type="containsText" dxfId="613" priority="78" stopIfTrue="1" operator="containsText" text="5">
      <formula>NOT(ISERROR(SEARCH("5",K33)))</formula>
    </cfRule>
  </conditionalFormatting>
  <conditionalFormatting sqref="K32:L32">
    <cfRule type="containsText" dxfId="612" priority="67" stopIfTrue="1" operator="containsText" text="0">
      <formula>NOT(ISERROR(SEARCH("0",K32)))</formula>
    </cfRule>
    <cfRule type="containsText" dxfId="611" priority="68" stopIfTrue="1" operator="containsText" text="1">
      <formula>NOT(ISERROR(SEARCH("1",K32)))</formula>
    </cfRule>
    <cfRule type="containsText" dxfId="610" priority="69" stopIfTrue="1" operator="containsText" text="2">
      <formula>NOT(ISERROR(SEARCH("2",K32)))</formula>
    </cfRule>
    <cfRule type="containsText" dxfId="609" priority="70" stopIfTrue="1" operator="containsText" text="3">
      <formula>NOT(ISERROR(SEARCH("3",K32)))</formula>
    </cfRule>
    <cfRule type="containsText" dxfId="608" priority="71" stopIfTrue="1" operator="containsText" text="4">
      <formula>NOT(ISERROR(SEARCH("4",K32)))</formula>
    </cfRule>
    <cfRule type="containsText" dxfId="607" priority="72" stopIfTrue="1" operator="containsText" text="5">
      <formula>NOT(ISERROR(SEARCH("5",K32)))</formula>
    </cfRule>
  </conditionalFormatting>
  <conditionalFormatting sqref="K31:L31">
    <cfRule type="containsText" dxfId="606" priority="61" stopIfTrue="1" operator="containsText" text="0">
      <formula>NOT(ISERROR(SEARCH("0",K31)))</formula>
    </cfRule>
    <cfRule type="containsText" dxfId="605" priority="62" stopIfTrue="1" operator="containsText" text="1">
      <formula>NOT(ISERROR(SEARCH("1",K31)))</formula>
    </cfRule>
    <cfRule type="containsText" dxfId="604" priority="63" stopIfTrue="1" operator="containsText" text="2">
      <formula>NOT(ISERROR(SEARCH("2",K31)))</formula>
    </cfRule>
    <cfRule type="containsText" dxfId="603" priority="64" stopIfTrue="1" operator="containsText" text="3">
      <formula>NOT(ISERROR(SEARCH("3",K31)))</formula>
    </cfRule>
    <cfRule type="containsText" dxfId="602" priority="65" stopIfTrue="1" operator="containsText" text="4">
      <formula>NOT(ISERROR(SEARCH("4",K31)))</formula>
    </cfRule>
    <cfRule type="containsText" dxfId="601" priority="66" stopIfTrue="1" operator="containsText" text="5">
      <formula>NOT(ISERROR(SEARCH("5",K31)))</formula>
    </cfRule>
  </conditionalFormatting>
  <conditionalFormatting sqref="K30:L30">
    <cfRule type="containsText" dxfId="600" priority="55" stopIfTrue="1" operator="containsText" text="0">
      <formula>NOT(ISERROR(SEARCH("0",K30)))</formula>
    </cfRule>
    <cfRule type="containsText" dxfId="599" priority="56" stopIfTrue="1" operator="containsText" text="1">
      <formula>NOT(ISERROR(SEARCH("1",K30)))</formula>
    </cfRule>
    <cfRule type="containsText" dxfId="598" priority="57" stopIfTrue="1" operator="containsText" text="2">
      <formula>NOT(ISERROR(SEARCH("2",K30)))</formula>
    </cfRule>
    <cfRule type="containsText" dxfId="597" priority="58" stopIfTrue="1" operator="containsText" text="3">
      <formula>NOT(ISERROR(SEARCH("3",K30)))</formula>
    </cfRule>
    <cfRule type="containsText" dxfId="596" priority="59" stopIfTrue="1" operator="containsText" text="4">
      <formula>NOT(ISERROR(SEARCH("4",K30)))</formula>
    </cfRule>
    <cfRule type="containsText" dxfId="595" priority="60" stopIfTrue="1" operator="containsText" text="5">
      <formula>NOT(ISERROR(SEARCH("5",K30)))</formula>
    </cfRule>
  </conditionalFormatting>
  <conditionalFormatting sqref="K9:L9">
    <cfRule type="containsText" dxfId="594" priority="49" stopIfTrue="1" operator="containsText" text="0">
      <formula>NOT(ISERROR(SEARCH("0",K9)))</formula>
    </cfRule>
    <cfRule type="containsText" dxfId="593" priority="50" stopIfTrue="1" operator="containsText" text="1">
      <formula>NOT(ISERROR(SEARCH("1",K9)))</formula>
    </cfRule>
    <cfRule type="containsText" dxfId="592" priority="51" stopIfTrue="1" operator="containsText" text="2">
      <formula>NOT(ISERROR(SEARCH("2",K9)))</formula>
    </cfRule>
    <cfRule type="containsText" dxfId="591" priority="52" stopIfTrue="1" operator="containsText" text="3">
      <formula>NOT(ISERROR(SEARCH("3",K9)))</formula>
    </cfRule>
    <cfRule type="containsText" dxfId="590" priority="53" stopIfTrue="1" operator="containsText" text="4">
      <formula>NOT(ISERROR(SEARCH("4",K9)))</formula>
    </cfRule>
    <cfRule type="containsText" dxfId="589" priority="54" stopIfTrue="1" operator="containsText" text="5">
      <formula>NOT(ISERROR(SEARCH("5",K9)))</formula>
    </cfRule>
  </conditionalFormatting>
  <conditionalFormatting sqref="K11:L11">
    <cfRule type="containsText" dxfId="588" priority="43" stopIfTrue="1" operator="containsText" text="0">
      <formula>NOT(ISERROR(SEARCH("0",K11)))</formula>
    </cfRule>
    <cfRule type="containsText" dxfId="587" priority="44" stopIfTrue="1" operator="containsText" text="1">
      <formula>NOT(ISERROR(SEARCH("1",K11)))</formula>
    </cfRule>
    <cfRule type="containsText" dxfId="586" priority="45" stopIfTrue="1" operator="containsText" text="2">
      <formula>NOT(ISERROR(SEARCH("2",K11)))</formula>
    </cfRule>
    <cfRule type="containsText" dxfId="585" priority="46" stopIfTrue="1" operator="containsText" text="3">
      <formula>NOT(ISERROR(SEARCH("3",K11)))</formula>
    </cfRule>
    <cfRule type="containsText" dxfId="584" priority="47" stopIfTrue="1" operator="containsText" text="4">
      <formula>NOT(ISERROR(SEARCH("4",K11)))</formula>
    </cfRule>
    <cfRule type="containsText" dxfId="583" priority="48" stopIfTrue="1" operator="containsText" text="5">
      <formula>NOT(ISERROR(SEARCH("5",K11)))</formula>
    </cfRule>
  </conditionalFormatting>
  <conditionalFormatting sqref="K12:L12">
    <cfRule type="containsText" dxfId="582" priority="37" stopIfTrue="1" operator="containsText" text="0">
      <formula>NOT(ISERROR(SEARCH("0",K12)))</formula>
    </cfRule>
    <cfRule type="containsText" dxfId="581" priority="38" stopIfTrue="1" operator="containsText" text="1">
      <formula>NOT(ISERROR(SEARCH("1",K12)))</formula>
    </cfRule>
    <cfRule type="containsText" dxfId="580" priority="39" stopIfTrue="1" operator="containsText" text="2">
      <formula>NOT(ISERROR(SEARCH("2",K12)))</formula>
    </cfRule>
    <cfRule type="containsText" dxfId="579" priority="40" stopIfTrue="1" operator="containsText" text="3">
      <formula>NOT(ISERROR(SEARCH("3",K12)))</formula>
    </cfRule>
    <cfRule type="containsText" dxfId="578" priority="41" stopIfTrue="1" operator="containsText" text="4">
      <formula>NOT(ISERROR(SEARCH("4",K12)))</formula>
    </cfRule>
    <cfRule type="containsText" dxfId="577" priority="42" stopIfTrue="1" operator="containsText" text="5">
      <formula>NOT(ISERROR(SEARCH("5",K12)))</formula>
    </cfRule>
  </conditionalFormatting>
  <conditionalFormatting sqref="K13:L13">
    <cfRule type="containsText" dxfId="576" priority="31" stopIfTrue="1" operator="containsText" text="0">
      <formula>NOT(ISERROR(SEARCH("0",K13)))</formula>
    </cfRule>
    <cfRule type="containsText" dxfId="575" priority="32" stopIfTrue="1" operator="containsText" text="1">
      <formula>NOT(ISERROR(SEARCH("1",K13)))</formula>
    </cfRule>
    <cfRule type="containsText" dxfId="574" priority="33" stopIfTrue="1" operator="containsText" text="2">
      <formula>NOT(ISERROR(SEARCH("2",K13)))</formula>
    </cfRule>
    <cfRule type="containsText" dxfId="573" priority="34" stopIfTrue="1" operator="containsText" text="3">
      <formula>NOT(ISERROR(SEARCH("3",K13)))</formula>
    </cfRule>
    <cfRule type="containsText" dxfId="572" priority="35" stopIfTrue="1" operator="containsText" text="4">
      <formula>NOT(ISERROR(SEARCH("4",K13)))</formula>
    </cfRule>
    <cfRule type="containsText" dxfId="571" priority="36" stopIfTrue="1" operator="containsText" text="5">
      <formula>NOT(ISERROR(SEARCH("5",K13)))</formula>
    </cfRule>
  </conditionalFormatting>
  <conditionalFormatting sqref="K15:L15">
    <cfRule type="containsText" dxfId="570" priority="25" stopIfTrue="1" operator="containsText" text="0">
      <formula>NOT(ISERROR(SEARCH("0",K15)))</formula>
    </cfRule>
    <cfRule type="containsText" dxfId="569" priority="26" stopIfTrue="1" operator="containsText" text="1">
      <formula>NOT(ISERROR(SEARCH("1",K15)))</formula>
    </cfRule>
    <cfRule type="containsText" dxfId="568" priority="27" stopIfTrue="1" operator="containsText" text="2">
      <formula>NOT(ISERROR(SEARCH("2",K15)))</formula>
    </cfRule>
    <cfRule type="containsText" dxfId="567" priority="28" stopIfTrue="1" operator="containsText" text="3">
      <formula>NOT(ISERROR(SEARCH("3",K15)))</formula>
    </cfRule>
    <cfRule type="containsText" dxfId="566" priority="29" stopIfTrue="1" operator="containsText" text="4">
      <formula>NOT(ISERROR(SEARCH("4",K15)))</formula>
    </cfRule>
    <cfRule type="containsText" dxfId="565" priority="30" stopIfTrue="1" operator="containsText" text="5">
      <formula>NOT(ISERROR(SEARCH("5",K15)))</formula>
    </cfRule>
  </conditionalFormatting>
  <conditionalFormatting sqref="K16:L16">
    <cfRule type="containsText" dxfId="564" priority="19" stopIfTrue="1" operator="containsText" text="0">
      <formula>NOT(ISERROR(SEARCH("0",K16)))</formula>
    </cfRule>
    <cfRule type="containsText" dxfId="563" priority="20" stopIfTrue="1" operator="containsText" text="1">
      <formula>NOT(ISERROR(SEARCH("1",K16)))</formula>
    </cfRule>
    <cfRule type="containsText" dxfId="562" priority="21" stopIfTrue="1" operator="containsText" text="2">
      <formula>NOT(ISERROR(SEARCH("2",K16)))</formula>
    </cfRule>
    <cfRule type="containsText" dxfId="561" priority="22" stopIfTrue="1" operator="containsText" text="3">
      <formula>NOT(ISERROR(SEARCH("3",K16)))</formula>
    </cfRule>
    <cfRule type="containsText" dxfId="560" priority="23" stopIfTrue="1" operator="containsText" text="4">
      <formula>NOT(ISERROR(SEARCH("4",K16)))</formula>
    </cfRule>
    <cfRule type="containsText" dxfId="559" priority="24" stopIfTrue="1" operator="containsText" text="5">
      <formula>NOT(ISERROR(SEARCH("5",K16)))</formula>
    </cfRule>
  </conditionalFormatting>
  <conditionalFormatting sqref="K17:L17">
    <cfRule type="containsText" dxfId="558" priority="13" stopIfTrue="1" operator="containsText" text="0">
      <formula>NOT(ISERROR(SEARCH("0",K17)))</formula>
    </cfRule>
    <cfRule type="containsText" dxfId="557" priority="14" stopIfTrue="1" operator="containsText" text="1">
      <formula>NOT(ISERROR(SEARCH("1",K17)))</formula>
    </cfRule>
    <cfRule type="containsText" dxfId="556" priority="15" stopIfTrue="1" operator="containsText" text="2">
      <formula>NOT(ISERROR(SEARCH("2",K17)))</formula>
    </cfRule>
    <cfRule type="containsText" dxfId="555" priority="16" stopIfTrue="1" operator="containsText" text="3">
      <formula>NOT(ISERROR(SEARCH("3",K17)))</formula>
    </cfRule>
    <cfRule type="containsText" dxfId="554" priority="17" stopIfTrue="1" operator="containsText" text="4">
      <formula>NOT(ISERROR(SEARCH("4",K17)))</formula>
    </cfRule>
    <cfRule type="containsText" dxfId="553" priority="18" stopIfTrue="1" operator="containsText" text="5">
      <formula>NOT(ISERROR(SEARCH("5",K17)))</formula>
    </cfRule>
  </conditionalFormatting>
  <conditionalFormatting sqref="K18:L18">
    <cfRule type="containsText" dxfId="552" priority="7" stopIfTrue="1" operator="containsText" text="0">
      <formula>NOT(ISERROR(SEARCH("0",K18)))</formula>
    </cfRule>
    <cfRule type="containsText" dxfId="551" priority="8" stopIfTrue="1" operator="containsText" text="1">
      <formula>NOT(ISERROR(SEARCH("1",K18)))</formula>
    </cfRule>
    <cfRule type="containsText" dxfId="550" priority="9" stopIfTrue="1" operator="containsText" text="2">
      <formula>NOT(ISERROR(SEARCH("2",K18)))</formula>
    </cfRule>
    <cfRule type="containsText" dxfId="549" priority="10" stopIfTrue="1" operator="containsText" text="3">
      <formula>NOT(ISERROR(SEARCH("3",K18)))</formula>
    </cfRule>
    <cfRule type="containsText" dxfId="548" priority="11" stopIfTrue="1" operator="containsText" text="4">
      <formula>NOT(ISERROR(SEARCH("4",K18)))</formula>
    </cfRule>
    <cfRule type="containsText" dxfId="547" priority="12" stopIfTrue="1" operator="containsText" text="5">
      <formula>NOT(ISERROR(SEARCH("5",K18)))</formula>
    </cfRule>
  </conditionalFormatting>
  <conditionalFormatting sqref="K19:L19">
    <cfRule type="containsText" dxfId="546" priority="1" stopIfTrue="1" operator="containsText" text="0">
      <formula>NOT(ISERROR(SEARCH("0",K19)))</formula>
    </cfRule>
    <cfRule type="containsText" dxfId="545" priority="2" stopIfTrue="1" operator="containsText" text="1">
      <formula>NOT(ISERROR(SEARCH("1",K19)))</formula>
    </cfRule>
    <cfRule type="containsText" dxfId="544" priority="3" stopIfTrue="1" operator="containsText" text="2">
      <formula>NOT(ISERROR(SEARCH("2",K19)))</formula>
    </cfRule>
    <cfRule type="containsText" dxfId="543" priority="4" stopIfTrue="1" operator="containsText" text="3">
      <formula>NOT(ISERROR(SEARCH("3",K19)))</formula>
    </cfRule>
    <cfRule type="containsText" dxfId="542" priority="5" stopIfTrue="1" operator="containsText" text="4">
      <formula>NOT(ISERROR(SEARCH("4",K19)))</formula>
    </cfRule>
    <cfRule type="containsText" dxfId="541" priority="6" stopIfTrue="1" operator="containsText" text="5">
      <formula>NOT(ISERROR(SEARCH("5",K19)))</formula>
    </cfRule>
  </conditionalFormatting>
  <printOptions horizontalCentere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AddTargetLateral">
                <anchor moveWithCells="1" sizeWithCells="1">
                  <from>
                    <xdr:col>12</xdr:col>
                    <xdr:colOff>57150</xdr:colOff>
                    <xdr:row>5</xdr:row>
                    <xdr:rowOff>12700</xdr:rowOff>
                  </from>
                  <to>
                    <xdr:col>15</xdr:col>
                    <xdr:colOff>514350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AddrowTL">
                <anchor moveWithCells="1" sizeWithCells="1">
                  <from>
                    <xdr:col>12</xdr:col>
                    <xdr:colOff>50800</xdr:colOff>
                    <xdr:row>0</xdr:row>
                    <xdr:rowOff>50800</xdr:rowOff>
                  </from>
                  <to>
                    <xdr:col>15</xdr:col>
                    <xdr:colOff>508000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DeleteRowTL">
                <anchor moveWithCells="1" sizeWithCells="1">
                  <from>
                    <xdr:col>12</xdr:col>
                    <xdr:colOff>57150</xdr:colOff>
                    <xdr:row>1</xdr:row>
                    <xdr:rowOff>152400</xdr:rowOff>
                  </from>
                  <to>
                    <xdr:col>15</xdr:col>
                    <xdr:colOff>514350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pageSetUpPr fitToPage="1"/>
  </sheetPr>
  <dimension ref="A1:Y50"/>
  <sheetViews>
    <sheetView tabSelected="1" zoomScaleNormal="100" workbookViewId="0">
      <selection activeCell="E16" sqref="E16:J16"/>
    </sheetView>
  </sheetViews>
  <sheetFormatPr defaultRowHeight="12.5"/>
  <cols>
    <col min="1" max="1" width="7.453125" customWidth="1"/>
    <col min="2" max="2" width="8.54296875" customWidth="1"/>
    <col min="3" max="12" width="7.453125" customWidth="1"/>
    <col min="13" max="13" width="9.1796875" style="23"/>
    <col min="17" max="22" width="15.7265625" customWidth="1"/>
  </cols>
  <sheetData>
    <row r="1" spans="1:25" s="15" customFormat="1" ht="23">
      <c r="A1" s="350" t="s">
        <v>105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160"/>
      <c r="N1" s="161"/>
      <c r="O1" s="161"/>
      <c r="P1" s="161"/>
      <c r="Q1"/>
      <c r="R1" s="127" t="s">
        <v>128</v>
      </c>
      <c r="S1" s="127"/>
      <c r="T1" s="127"/>
      <c r="U1"/>
      <c r="W1"/>
      <c r="X1"/>
      <c r="Y1"/>
    </row>
    <row r="2" spans="1:25" ht="14.5">
      <c r="A2" s="412"/>
      <c r="B2" s="412"/>
      <c r="C2" s="412"/>
      <c r="D2" s="412"/>
      <c r="E2" s="412"/>
      <c r="F2" s="412"/>
      <c r="G2" s="412"/>
      <c r="H2" s="412"/>
      <c r="I2" s="412"/>
      <c r="J2" s="412"/>
      <c r="K2" s="412"/>
      <c r="L2" s="412"/>
      <c r="M2" s="162"/>
      <c r="N2" s="127"/>
      <c r="O2" s="127"/>
      <c r="P2" s="127"/>
      <c r="Q2" s="149" t="s">
        <v>126</v>
      </c>
      <c r="R2" s="126" t="s">
        <v>124</v>
      </c>
    </row>
    <row r="3" spans="1:25" ht="14.5">
      <c r="A3" s="413" t="s">
        <v>101</v>
      </c>
      <c r="B3" s="413"/>
      <c r="C3" s="413"/>
      <c r="D3" s="413"/>
      <c r="E3" s="413"/>
      <c r="F3" s="413"/>
      <c r="G3" s="413"/>
      <c r="H3" s="413"/>
      <c r="I3" s="413"/>
      <c r="J3" s="413"/>
      <c r="K3" s="413"/>
      <c r="L3" s="413"/>
      <c r="M3" s="162"/>
      <c r="N3" s="127"/>
      <c r="O3" s="127"/>
      <c r="P3" s="127"/>
      <c r="Q3" s="149" t="s">
        <v>127</v>
      </c>
      <c r="R3" s="126" t="s">
        <v>125</v>
      </c>
    </row>
    <row r="4" spans="1:25">
      <c r="A4" s="412"/>
      <c r="B4" s="412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162"/>
      <c r="N4" s="127"/>
      <c r="O4" s="127"/>
      <c r="P4" s="127"/>
    </row>
    <row r="5" spans="1:25" ht="23">
      <c r="A5" s="400" t="s">
        <v>164</v>
      </c>
      <c r="B5" s="400"/>
      <c r="C5" s="400"/>
      <c r="D5" s="400"/>
      <c r="E5" s="400"/>
      <c r="F5" s="400"/>
      <c r="G5" s="400"/>
      <c r="H5" s="400"/>
      <c r="I5" s="400"/>
      <c r="J5" s="400"/>
      <c r="K5" s="400"/>
      <c r="L5" s="400"/>
    </row>
    <row r="6" spans="1:25" ht="17.25" customHeight="1">
      <c r="A6" s="386" t="s">
        <v>85</v>
      </c>
      <c r="B6" s="386"/>
      <c r="C6" s="386"/>
      <c r="D6" s="386"/>
      <c r="E6" s="386"/>
      <c r="F6" s="386"/>
      <c r="G6" s="386"/>
      <c r="H6" s="386"/>
      <c r="I6" s="386"/>
      <c r="J6" s="386"/>
      <c r="K6" s="386"/>
      <c r="L6" s="386"/>
      <c r="Q6" s="396" t="s">
        <v>151</v>
      </c>
      <c r="R6" s="396"/>
      <c r="S6" s="396"/>
      <c r="T6" s="396"/>
      <c r="U6" s="396"/>
      <c r="V6" s="396"/>
    </row>
    <row r="7" spans="1:25" ht="13.15" customHeight="1">
      <c r="A7" s="401" t="s">
        <v>86</v>
      </c>
      <c r="B7" s="402"/>
      <c r="C7" s="403" t="s">
        <v>87</v>
      </c>
      <c r="D7" s="402"/>
      <c r="E7" s="404"/>
      <c r="F7" s="405"/>
      <c r="G7" s="405"/>
      <c r="H7" s="405"/>
      <c r="I7" s="405"/>
      <c r="J7" s="406"/>
      <c r="K7" s="407" t="s">
        <v>107</v>
      </c>
      <c r="L7" s="408"/>
      <c r="Q7" s="397" t="s">
        <v>152</v>
      </c>
      <c r="R7" s="397"/>
      <c r="S7" s="398"/>
      <c r="T7" s="399" t="s">
        <v>153</v>
      </c>
      <c r="U7" s="397"/>
      <c r="V7" s="398"/>
    </row>
    <row r="8" spans="1:25" ht="13">
      <c r="A8" s="164" t="s">
        <v>46</v>
      </c>
      <c r="B8" s="108" t="s">
        <v>47</v>
      </c>
      <c r="C8" s="108" t="s">
        <v>88</v>
      </c>
      <c r="D8" s="109" t="s">
        <v>89</v>
      </c>
      <c r="E8" s="409" t="s">
        <v>90</v>
      </c>
      <c r="F8" s="410"/>
      <c r="G8" s="410"/>
      <c r="H8" s="410"/>
      <c r="I8" s="410"/>
      <c r="J8" s="411"/>
      <c r="K8" s="410" t="s">
        <v>91</v>
      </c>
      <c r="L8" s="410"/>
      <c r="Q8" s="144" t="s">
        <v>154</v>
      </c>
      <c r="R8" s="145" t="s">
        <v>155</v>
      </c>
      <c r="S8" s="150" t="s">
        <v>156</v>
      </c>
      <c r="T8" s="151" t="s">
        <v>154</v>
      </c>
      <c r="U8" s="146" t="s">
        <v>155</v>
      </c>
      <c r="V8" s="150" t="s">
        <v>156</v>
      </c>
    </row>
    <row r="9" spans="1:25" ht="23.25" customHeight="1">
      <c r="A9" s="129">
        <v>994</v>
      </c>
      <c r="B9" s="77">
        <v>1165</v>
      </c>
      <c r="C9" s="134" t="s">
        <v>330</v>
      </c>
      <c r="D9" s="135" t="s">
        <v>320</v>
      </c>
      <c r="E9" s="388" t="s">
        <v>415</v>
      </c>
      <c r="F9" s="389"/>
      <c r="G9" s="389"/>
      <c r="H9" s="389"/>
      <c r="I9" s="389"/>
      <c r="J9" s="390"/>
      <c r="K9" s="391">
        <v>3</v>
      </c>
      <c r="L9" s="392"/>
      <c r="N9" s="133"/>
      <c r="Q9" s="284"/>
      <c r="R9" s="316"/>
      <c r="S9" s="317"/>
      <c r="T9" s="152"/>
      <c r="U9" s="77"/>
      <c r="V9" s="153"/>
      <c r="W9" s="147"/>
    </row>
    <row r="10" spans="1:25" ht="12.75" customHeight="1">
      <c r="A10" s="129">
        <f>B9</f>
        <v>1165</v>
      </c>
      <c r="B10" s="77">
        <v>1255</v>
      </c>
      <c r="C10" s="134" t="s">
        <v>330</v>
      </c>
      <c r="D10" s="135" t="s">
        <v>326</v>
      </c>
      <c r="E10" s="388" t="s">
        <v>416</v>
      </c>
      <c r="F10" s="389"/>
      <c r="G10" s="389"/>
      <c r="H10" s="389"/>
      <c r="I10" s="389"/>
      <c r="J10" s="390"/>
      <c r="K10" s="391">
        <v>4</v>
      </c>
      <c r="L10" s="392"/>
      <c r="N10" s="133"/>
      <c r="Q10" s="284"/>
      <c r="R10" s="316"/>
      <c r="S10" s="317"/>
      <c r="T10" s="152"/>
      <c r="U10" s="77"/>
      <c r="V10" s="153"/>
      <c r="W10" s="147"/>
    </row>
    <row r="11" spans="1:25" ht="12.75" customHeight="1">
      <c r="A11" s="129">
        <f t="shared" ref="A11:A19" si="0">B10</f>
        <v>1255</v>
      </c>
      <c r="B11" s="77">
        <v>1280</v>
      </c>
      <c r="C11" s="134" t="s">
        <v>417</v>
      </c>
      <c r="D11" s="135" t="s">
        <v>320</v>
      </c>
      <c r="E11" s="388" t="s">
        <v>419</v>
      </c>
      <c r="F11" s="389"/>
      <c r="G11" s="389"/>
      <c r="H11" s="389"/>
      <c r="I11" s="389"/>
      <c r="J11" s="390"/>
      <c r="K11" s="391">
        <v>3</v>
      </c>
      <c r="L11" s="392"/>
      <c r="N11" s="133"/>
      <c r="Q11" s="284"/>
      <c r="R11" s="316"/>
      <c r="S11" s="317"/>
      <c r="T11" s="152"/>
      <c r="U11" s="77"/>
      <c r="V11" s="153"/>
      <c r="W11" s="147"/>
    </row>
    <row r="12" spans="1:25" ht="12.75" customHeight="1">
      <c r="A12" s="129">
        <f t="shared" si="0"/>
        <v>1280</v>
      </c>
      <c r="B12" s="77">
        <v>1360</v>
      </c>
      <c r="C12" s="134" t="s">
        <v>417</v>
      </c>
      <c r="D12" s="135" t="s">
        <v>418</v>
      </c>
      <c r="E12" s="388" t="s">
        <v>420</v>
      </c>
      <c r="F12" s="389"/>
      <c r="G12" s="389"/>
      <c r="H12" s="389"/>
      <c r="I12" s="389"/>
      <c r="J12" s="390"/>
      <c r="K12" s="391">
        <v>3</v>
      </c>
      <c r="L12" s="392"/>
      <c r="N12" s="133"/>
      <c r="Q12" s="284"/>
      <c r="R12" s="316"/>
      <c r="S12" s="317"/>
      <c r="T12" s="152"/>
      <c r="U12" s="77"/>
      <c r="V12" s="153"/>
      <c r="W12" s="147"/>
    </row>
    <row r="13" spans="1:25" ht="12.75" customHeight="1">
      <c r="A13" s="129">
        <f t="shared" si="0"/>
        <v>1360</v>
      </c>
      <c r="B13" s="77">
        <v>1400</v>
      </c>
      <c r="C13" s="134" t="s">
        <v>417</v>
      </c>
      <c r="D13" s="135" t="s">
        <v>418</v>
      </c>
      <c r="E13" s="388" t="s">
        <v>421</v>
      </c>
      <c r="F13" s="389"/>
      <c r="G13" s="389"/>
      <c r="H13" s="389"/>
      <c r="I13" s="389"/>
      <c r="J13" s="390"/>
      <c r="K13" s="391">
        <v>2</v>
      </c>
      <c r="L13" s="392"/>
      <c r="N13" s="133"/>
      <c r="Q13" s="284"/>
      <c r="R13" s="316"/>
      <c r="S13" s="317"/>
      <c r="T13" s="320"/>
      <c r="U13" s="316"/>
      <c r="V13" s="321"/>
      <c r="W13" s="147"/>
    </row>
    <row r="14" spans="1:25" ht="12.75" customHeight="1">
      <c r="A14" s="129">
        <f t="shared" si="0"/>
        <v>1400</v>
      </c>
      <c r="B14" s="77">
        <v>1480</v>
      </c>
      <c r="C14" s="134" t="s">
        <v>422</v>
      </c>
      <c r="D14" s="135" t="s">
        <v>320</v>
      </c>
      <c r="E14" s="388" t="s">
        <v>423</v>
      </c>
      <c r="F14" s="389"/>
      <c r="G14" s="389"/>
      <c r="H14" s="389"/>
      <c r="I14" s="389"/>
      <c r="J14" s="390"/>
      <c r="K14" s="391">
        <v>3</v>
      </c>
      <c r="L14" s="392"/>
      <c r="N14" s="133"/>
      <c r="Q14" s="284"/>
      <c r="R14" s="316"/>
      <c r="S14" s="317"/>
      <c r="T14" s="320"/>
      <c r="U14" s="316"/>
      <c r="V14" s="321"/>
      <c r="W14" s="148"/>
    </row>
    <row r="15" spans="1:25" ht="12.75" customHeight="1">
      <c r="A15" s="129">
        <f t="shared" si="0"/>
        <v>1480</v>
      </c>
      <c r="B15" s="77"/>
      <c r="C15" s="134"/>
      <c r="D15" s="135"/>
      <c r="E15" s="388"/>
      <c r="F15" s="389"/>
      <c r="G15" s="389"/>
      <c r="H15" s="389"/>
      <c r="I15" s="389"/>
      <c r="J15" s="390"/>
      <c r="K15" s="391"/>
      <c r="L15" s="392"/>
      <c r="N15" s="133"/>
      <c r="Q15" s="284"/>
      <c r="R15" s="316"/>
      <c r="S15" s="317"/>
      <c r="T15" s="320"/>
      <c r="U15" s="316"/>
      <c r="V15" s="321"/>
      <c r="W15" s="147"/>
    </row>
    <row r="16" spans="1:25" ht="25.5" customHeight="1">
      <c r="A16" s="129">
        <f t="shared" si="0"/>
        <v>0</v>
      </c>
      <c r="B16" s="77"/>
      <c r="C16" s="134"/>
      <c r="D16" s="135"/>
      <c r="E16" s="388"/>
      <c r="F16" s="389"/>
      <c r="G16" s="389"/>
      <c r="H16" s="389"/>
      <c r="I16" s="389"/>
      <c r="J16" s="390"/>
      <c r="K16" s="391"/>
      <c r="L16" s="392"/>
      <c r="N16" s="133"/>
      <c r="Q16" s="284"/>
      <c r="R16" s="318"/>
      <c r="S16" s="317"/>
      <c r="T16" s="320"/>
      <c r="U16" s="316"/>
      <c r="V16" s="321"/>
      <c r="W16" s="147"/>
    </row>
    <row r="17" spans="1:23" ht="12.75" customHeight="1">
      <c r="A17" s="129">
        <f t="shared" si="0"/>
        <v>0</v>
      </c>
      <c r="B17" s="77"/>
      <c r="C17" s="134"/>
      <c r="D17" s="135"/>
      <c r="E17" s="388"/>
      <c r="F17" s="389"/>
      <c r="G17" s="389"/>
      <c r="H17" s="389"/>
      <c r="I17" s="389"/>
      <c r="J17" s="390"/>
      <c r="K17" s="414"/>
      <c r="L17" s="415"/>
      <c r="N17" s="133"/>
      <c r="Q17" s="284"/>
      <c r="R17" s="318"/>
      <c r="S17" s="317"/>
      <c r="T17" s="320"/>
      <c r="U17" s="316"/>
      <c r="V17" s="321"/>
      <c r="W17" s="147"/>
    </row>
    <row r="18" spans="1:23" ht="12.75" customHeight="1">
      <c r="A18" s="129">
        <f t="shared" si="0"/>
        <v>0</v>
      </c>
      <c r="B18" s="77"/>
      <c r="C18" s="134"/>
      <c r="D18" s="135"/>
      <c r="E18" s="388"/>
      <c r="F18" s="389"/>
      <c r="G18" s="389"/>
      <c r="H18" s="389"/>
      <c r="I18" s="389"/>
      <c r="J18" s="390"/>
      <c r="K18" s="391"/>
      <c r="L18" s="392"/>
      <c r="N18" s="133"/>
      <c r="Q18" s="284"/>
      <c r="R18" s="316"/>
      <c r="S18" s="317"/>
      <c r="T18" s="320"/>
      <c r="U18" s="316"/>
      <c r="V18" s="321"/>
      <c r="W18" s="147"/>
    </row>
    <row r="19" spans="1:23" ht="23.25" customHeight="1">
      <c r="A19" s="129">
        <f t="shared" si="0"/>
        <v>0</v>
      </c>
      <c r="B19" s="77"/>
      <c r="C19" s="134"/>
      <c r="D19" s="135"/>
      <c r="E19" s="388"/>
      <c r="F19" s="389"/>
      <c r="G19" s="389"/>
      <c r="H19" s="389"/>
      <c r="I19" s="389"/>
      <c r="J19" s="390"/>
      <c r="K19" s="391"/>
      <c r="L19" s="392"/>
      <c r="N19" s="133"/>
      <c r="Q19" s="77"/>
      <c r="R19" s="316"/>
      <c r="S19" s="317"/>
      <c r="T19" s="320"/>
      <c r="U19" s="316"/>
      <c r="V19" s="321"/>
      <c r="W19" s="147"/>
    </row>
    <row r="20" spans="1:23" ht="12.75" customHeight="1">
      <c r="A20" s="129"/>
      <c r="B20" s="77"/>
      <c r="C20" s="286"/>
      <c r="D20" s="287"/>
      <c r="E20" s="388"/>
      <c r="F20" s="389"/>
      <c r="G20" s="389"/>
      <c r="H20" s="389"/>
      <c r="I20" s="389"/>
      <c r="J20" s="390"/>
      <c r="K20" s="391"/>
      <c r="L20" s="392"/>
      <c r="N20" s="133"/>
      <c r="Q20" s="77"/>
      <c r="R20" s="316"/>
      <c r="S20" s="319"/>
      <c r="T20" s="320"/>
      <c r="U20" s="316"/>
      <c r="V20" s="321"/>
      <c r="W20" s="147"/>
    </row>
    <row r="21" spans="1:23" ht="12.75" customHeight="1">
      <c r="A21" s="129"/>
      <c r="B21" s="77"/>
      <c r="C21" s="134"/>
      <c r="D21" s="135"/>
      <c r="E21" s="388"/>
      <c r="F21" s="389"/>
      <c r="G21" s="389"/>
      <c r="H21" s="389"/>
      <c r="I21" s="389"/>
      <c r="J21" s="390"/>
      <c r="K21" s="391"/>
      <c r="L21" s="392"/>
      <c r="N21" s="133"/>
      <c r="Q21" s="77"/>
      <c r="R21" s="316"/>
      <c r="S21" s="319"/>
      <c r="T21" s="320"/>
      <c r="U21" s="316"/>
      <c r="V21" s="321"/>
      <c r="W21" s="147"/>
    </row>
    <row r="22" spans="1:23" ht="12.75" customHeight="1">
      <c r="A22" s="129"/>
      <c r="B22" s="77"/>
      <c r="C22" s="134"/>
      <c r="D22" s="135"/>
      <c r="E22" s="388"/>
      <c r="F22" s="389"/>
      <c r="G22" s="389"/>
      <c r="H22" s="389"/>
      <c r="I22" s="389"/>
      <c r="J22" s="390"/>
      <c r="K22" s="391"/>
      <c r="L22" s="392"/>
      <c r="N22" s="133"/>
      <c r="Q22" s="77"/>
      <c r="R22" s="316"/>
      <c r="S22" s="319"/>
      <c r="T22" s="320"/>
      <c r="U22" s="316"/>
      <c r="V22" s="321"/>
      <c r="W22" s="147"/>
    </row>
    <row r="23" spans="1:23" ht="24.75" customHeight="1">
      <c r="A23" s="129"/>
      <c r="B23" s="77"/>
      <c r="C23" s="134"/>
      <c r="D23" s="135"/>
      <c r="E23" s="388"/>
      <c r="F23" s="389"/>
      <c r="G23" s="389"/>
      <c r="H23" s="389"/>
      <c r="I23" s="389"/>
      <c r="J23" s="390"/>
      <c r="K23" s="391"/>
      <c r="L23" s="392"/>
      <c r="N23" s="133"/>
      <c r="Q23" s="77"/>
      <c r="R23" s="316"/>
      <c r="S23" s="319"/>
      <c r="T23" s="320"/>
      <c r="U23" s="316"/>
      <c r="V23" s="321"/>
      <c r="W23" s="147"/>
    </row>
    <row r="24" spans="1:23" ht="12.75" customHeight="1">
      <c r="A24" s="129"/>
      <c r="B24" s="77"/>
      <c r="C24" s="286"/>
      <c r="D24" s="287"/>
      <c r="E24" s="388"/>
      <c r="F24" s="389"/>
      <c r="G24" s="389"/>
      <c r="H24" s="389"/>
      <c r="I24" s="389"/>
      <c r="J24" s="390"/>
      <c r="K24" s="391"/>
      <c r="L24" s="392"/>
      <c r="N24" s="133"/>
      <c r="Q24" s="77"/>
      <c r="R24" s="316"/>
      <c r="S24" s="319"/>
      <c r="T24" s="320"/>
      <c r="U24" s="316"/>
      <c r="V24" s="321"/>
      <c r="W24" s="147"/>
    </row>
    <row r="25" spans="1:23" ht="15" customHeight="1">
      <c r="A25" s="129"/>
      <c r="B25" s="77"/>
      <c r="C25" s="134"/>
      <c r="D25" s="135"/>
      <c r="E25" s="388"/>
      <c r="F25" s="389"/>
      <c r="G25" s="389"/>
      <c r="H25" s="389"/>
      <c r="I25" s="389"/>
      <c r="J25" s="390"/>
      <c r="K25" s="391"/>
      <c r="L25" s="392"/>
      <c r="N25" s="133"/>
      <c r="Q25" s="77"/>
      <c r="R25" s="316"/>
      <c r="S25" s="319"/>
      <c r="T25" s="320"/>
      <c r="U25" s="316"/>
      <c r="V25" s="321"/>
      <c r="W25" s="147"/>
    </row>
    <row r="26" spans="1:23" ht="12.75" customHeight="1">
      <c r="A26" s="129"/>
      <c r="B26" s="77"/>
      <c r="C26" s="134"/>
      <c r="D26" s="135"/>
      <c r="E26" s="388"/>
      <c r="F26" s="389"/>
      <c r="G26" s="389"/>
      <c r="H26" s="389"/>
      <c r="I26" s="389"/>
      <c r="J26" s="390"/>
      <c r="K26" s="414"/>
      <c r="L26" s="415"/>
      <c r="N26" s="133"/>
      <c r="Q26" s="282"/>
      <c r="R26" s="316"/>
      <c r="S26" s="319"/>
      <c r="T26" s="322"/>
      <c r="U26" s="316"/>
      <c r="V26" s="319"/>
    </row>
    <row r="27" spans="1:23" ht="24.75" customHeight="1">
      <c r="A27" s="129">
        <f t="shared" ref="A27:A30" si="1">B26</f>
        <v>0</v>
      </c>
      <c r="B27" s="77"/>
      <c r="C27" s="134"/>
      <c r="D27" s="135"/>
      <c r="E27" s="421"/>
      <c r="F27" s="422"/>
      <c r="G27" s="422"/>
      <c r="H27" s="422"/>
      <c r="I27" s="422"/>
      <c r="J27" s="423"/>
      <c r="K27" s="391"/>
      <c r="L27" s="392"/>
      <c r="N27" s="133"/>
      <c r="Q27" s="282"/>
      <c r="R27" s="316"/>
      <c r="S27" s="319"/>
      <c r="T27" s="283"/>
      <c r="U27" s="77"/>
      <c r="V27" s="281"/>
    </row>
    <row r="28" spans="1:23" ht="24.75" customHeight="1">
      <c r="A28" s="129">
        <f t="shared" si="1"/>
        <v>0</v>
      </c>
      <c r="B28" s="77"/>
      <c r="C28" s="134"/>
      <c r="D28" s="135"/>
      <c r="E28" s="421"/>
      <c r="F28" s="422"/>
      <c r="G28" s="422"/>
      <c r="H28" s="422"/>
      <c r="I28" s="422"/>
      <c r="J28" s="423"/>
      <c r="K28" s="391"/>
      <c r="L28" s="392"/>
      <c r="Q28" s="282"/>
      <c r="R28" s="316"/>
      <c r="S28" s="319"/>
      <c r="T28" s="283"/>
      <c r="U28" s="77"/>
      <c r="V28" s="281"/>
    </row>
    <row r="29" spans="1:23" ht="24.75" customHeight="1">
      <c r="A29" s="129">
        <f t="shared" si="1"/>
        <v>0</v>
      </c>
      <c r="B29" s="77"/>
      <c r="C29" s="134"/>
      <c r="D29" s="135"/>
      <c r="E29" s="421"/>
      <c r="F29" s="422"/>
      <c r="G29" s="422"/>
      <c r="H29" s="422"/>
      <c r="I29" s="422"/>
      <c r="J29" s="423"/>
      <c r="K29" s="391"/>
      <c r="L29" s="392"/>
      <c r="Q29" s="282"/>
      <c r="R29" s="316"/>
      <c r="S29" s="319"/>
      <c r="T29" s="283"/>
      <c r="U29" s="77"/>
      <c r="V29" s="281"/>
    </row>
    <row r="30" spans="1:23">
      <c r="A30" s="129">
        <f t="shared" si="1"/>
        <v>0</v>
      </c>
      <c r="B30" s="77"/>
      <c r="C30" s="134"/>
      <c r="D30" s="135"/>
      <c r="E30" s="421"/>
      <c r="F30" s="422"/>
      <c r="G30" s="422"/>
      <c r="H30" s="422"/>
      <c r="I30" s="422"/>
      <c r="J30" s="423"/>
      <c r="K30" s="391"/>
      <c r="L30" s="392"/>
      <c r="Q30" s="282"/>
      <c r="R30" s="77"/>
      <c r="S30" s="281"/>
      <c r="T30" s="283"/>
      <c r="U30" s="77"/>
      <c r="V30" s="281"/>
    </row>
    <row r="31" spans="1:23" ht="13">
      <c r="A31" s="386" t="s">
        <v>97</v>
      </c>
      <c r="B31" s="387"/>
      <c r="C31" s="387"/>
      <c r="D31" s="387"/>
      <c r="E31" s="387"/>
      <c r="F31" s="387"/>
      <c r="G31" s="387"/>
      <c r="H31" s="387"/>
      <c r="I31" s="387"/>
      <c r="J31" s="387"/>
      <c r="K31" s="387"/>
      <c r="L31" s="387"/>
    </row>
    <row r="32" spans="1:23">
      <c r="A32" s="110">
        <v>5</v>
      </c>
      <c r="B32" s="383"/>
      <c r="C32" s="384"/>
      <c r="D32" s="384"/>
      <c r="E32" s="384"/>
      <c r="F32" s="384"/>
      <c r="G32" s="384"/>
      <c r="H32" s="384"/>
      <c r="I32" s="384"/>
      <c r="J32" s="384"/>
      <c r="K32" s="384"/>
      <c r="L32" s="385"/>
    </row>
    <row r="33" spans="1:12">
      <c r="A33" s="110">
        <v>4</v>
      </c>
      <c r="B33" s="383"/>
      <c r="C33" s="384"/>
      <c r="D33" s="384"/>
      <c r="E33" s="384"/>
      <c r="F33" s="384"/>
      <c r="G33" s="384"/>
      <c r="H33" s="384"/>
      <c r="I33" s="384"/>
      <c r="J33" s="384"/>
      <c r="K33" s="384"/>
      <c r="L33" s="385"/>
    </row>
    <row r="34" spans="1:12" ht="12.75" customHeight="1">
      <c r="A34" s="110">
        <v>3</v>
      </c>
      <c r="B34" s="383"/>
      <c r="C34" s="384"/>
      <c r="D34" s="384"/>
      <c r="E34" s="384"/>
      <c r="F34" s="384"/>
      <c r="G34" s="384"/>
      <c r="H34" s="384"/>
      <c r="I34" s="384"/>
      <c r="J34" s="384"/>
      <c r="K34" s="384"/>
      <c r="L34" s="385"/>
    </row>
    <row r="35" spans="1:12" ht="12.75" customHeight="1">
      <c r="A35" s="110">
        <v>2</v>
      </c>
      <c r="B35" s="383"/>
      <c r="C35" s="384"/>
      <c r="D35" s="384"/>
      <c r="E35" s="384"/>
      <c r="F35" s="384"/>
      <c r="G35" s="384"/>
      <c r="H35" s="384"/>
      <c r="I35" s="384"/>
      <c r="J35" s="384"/>
      <c r="K35" s="384"/>
      <c r="L35" s="385"/>
    </row>
    <row r="36" spans="1:12" ht="12.75" customHeight="1">
      <c r="A36" s="110">
        <v>1</v>
      </c>
      <c r="B36" s="383"/>
      <c r="C36" s="384"/>
      <c r="D36" s="384"/>
      <c r="E36" s="384"/>
      <c r="F36" s="384"/>
      <c r="G36" s="384"/>
      <c r="H36" s="384"/>
      <c r="I36" s="384"/>
      <c r="J36" s="384"/>
      <c r="K36" s="384"/>
      <c r="L36" s="385"/>
    </row>
    <row r="37" spans="1:12" ht="12.75" customHeight="1">
      <c r="A37" s="110">
        <v>0</v>
      </c>
      <c r="B37" s="383"/>
      <c r="C37" s="384"/>
      <c r="D37" s="384"/>
      <c r="E37" s="384"/>
      <c r="F37" s="384"/>
      <c r="G37" s="384"/>
      <c r="H37" s="384"/>
      <c r="I37" s="384"/>
      <c r="J37" s="384"/>
      <c r="K37" s="384"/>
      <c r="L37" s="385"/>
    </row>
    <row r="38" spans="1:12" ht="12.75" customHeight="1">
      <c r="A38" s="381"/>
      <c r="B38" s="382"/>
      <c r="C38" s="382"/>
      <c r="D38" s="382"/>
      <c r="E38" s="382"/>
      <c r="F38" s="382"/>
      <c r="G38" s="382"/>
      <c r="H38" s="382"/>
      <c r="I38" s="382"/>
      <c r="J38" s="382"/>
      <c r="K38" s="382"/>
      <c r="L38" s="382"/>
    </row>
    <row r="39" spans="1:12" ht="12.75" customHeight="1">
      <c r="A39" s="387" t="s">
        <v>161</v>
      </c>
      <c r="B39" s="387"/>
      <c r="C39" s="387"/>
      <c r="D39" s="387"/>
      <c r="E39" s="387"/>
      <c r="F39" s="387"/>
      <c r="G39" s="387"/>
      <c r="H39" s="387"/>
      <c r="I39" s="387"/>
      <c r="J39" s="387"/>
      <c r="K39" s="387"/>
      <c r="L39" s="387"/>
    </row>
    <row r="40" spans="1:12" ht="12.75" customHeight="1">
      <c r="A40" s="394"/>
      <c r="B40" s="394"/>
      <c r="C40" s="394"/>
      <c r="D40" s="394"/>
      <c r="E40" s="394"/>
      <c r="F40" s="394"/>
      <c r="G40" s="394"/>
      <c r="H40" s="394"/>
      <c r="I40" s="394"/>
      <c r="J40" s="394"/>
      <c r="K40" s="394"/>
      <c r="L40" s="394"/>
    </row>
    <row r="41" spans="1:12">
      <c r="A41" s="395"/>
      <c r="B41" s="395"/>
      <c r="C41" s="395"/>
      <c r="D41" s="395"/>
      <c r="E41" s="395"/>
      <c r="F41" s="395"/>
      <c r="G41" s="395"/>
      <c r="H41" s="395"/>
      <c r="I41" s="395"/>
      <c r="J41" s="395"/>
      <c r="K41" s="395"/>
      <c r="L41" s="395"/>
    </row>
    <row r="42" spans="1:12">
      <c r="A42" s="384"/>
      <c r="B42" s="384"/>
      <c r="C42" s="384"/>
      <c r="D42" s="384"/>
      <c r="E42" s="384"/>
      <c r="F42" s="384"/>
      <c r="G42" s="384"/>
      <c r="H42" s="384"/>
      <c r="I42" s="384"/>
      <c r="J42" s="384"/>
      <c r="K42" s="384"/>
      <c r="L42" s="384"/>
    </row>
    <row r="43" spans="1:12" ht="12.75" customHeight="1">
      <c r="A43" s="384"/>
      <c r="B43" s="384"/>
      <c r="C43" s="384"/>
      <c r="D43" s="384"/>
      <c r="E43" s="384"/>
      <c r="F43" s="384"/>
      <c r="G43" s="384"/>
      <c r="H43" s="384"/>
      <c r="I43" s="384"/>
      <c r="J43" s="384"/>
      <c r="K43" s="384"/>
      <c r="L43" s="384"/>
    </row>
    <row r="44" spans="1:12" ht="12.75" customHeight="1">
      <c r="A44" s="384"/>
      <c r="B44" s="384"/>
      <c r="C44" s="384"/>
      <c r="D44" s="384"/>
      <c r="E44" s="384"/>
      <c r="F44" s="384"/>
      <c r="G44" s="384"/>
      <c r="H44" s="384"/>
      <c r="I44" s="384"/>
      <c r="J44" s="384"/>
      <c r="K44" s="384"/>
      <c r="L44" s="384"/>
    </row>
    <row r="45" spans="1:12" ht="12.75" customHeight="1">
      <c r="A45" s="384"/>
      <c r="B45" s="384"/>
      <c r="C45" s="384"/>
      <c r="D45" s="384"/>
      <c r="E45" s="384"/>
      <c r="F45" s="384"/>
      <c r="G45" s="384"/>
      <c r="H45" s="384"/>
      <c r="I45" s="384"/>
      <c r="J45" s="384"/>
      <c r="K45" s="384"/>
      <c r="L45" s="384"/>
    </row>
    <row r="46" spans="1:12" ht="12.75" customHeight="1">
      <c r="A46" s="393"/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</row>
    <row r="47" spans="1:12" ht="12.75" customHeight="1"/>
    <row r="48" spans="1:12" ht="12.75" customHeight="1"/>
    <row r="49" ht="12.75" customHeight="1"/>
    <row r="50" ht="12.75" customHeight="1"/>
  </sheetData>
  <sheetProtection formatCells="0"/>
  <mergeCells count="75">
    <mergeCell ref="A1:L1"/>
    <mergeCell ref="A2:L2"/>
    <mergeCell ref="A3:L3"/>
    <mergeCell ref="A4:L4"/>
    <mergeCell ref="A5:L5"/>
    <mergeCell ref="Q6:V6"/>
    <mergeCell ref="A7:B7"/>
    <mergeCell ref="C7:D7"/>
    <mergeCell ref="E7:J7"/>
    <mergeCell ref="K7:L7"/>
    <mergeCell ref="Q7:S7"/>
    <mergeCell ref="T7:V7"/>
    <mergeCell ref="A6:L6"/>
    <mergeCell ref="E8:J8"/>
    <mergeCell ref="K8:L8"/>
    <mergeCell ref="E9:J9"/>
    <mergeCell ref="K9:L9"/>
    <mergeCell ref="E10:J10"/>
    <mergeCell ref="K10:L10"/>
    <mergeCell ref="E11:J11"/>
    <mergeCell ref="K11:L11"/>
    <mergeCell ref="E12:J12"/>
    <mergeCell ref="K12:L12"/>
    <mergeCell ref="E13:J13"/>
    <mergeCell ref="K13:L13"/>
    <mergeCell ref="E14:J14"/>
    <mergeCell ref="K14:L14"/>
    <mergeCell ref="E15:J15"/>
    <mergeCell ref="K15:L15"/>
    <mergeCell ref="E16:J16"/>
    <mergeCell ref="K16:L16"/>
    <mergeCell ref="E17:J17"/>
    <mergeCell ref="K17:L17"/>
    <mergeCell ref="E18:J18"/>
    <mergeCell ref="K18:L18"/>
    <mergeCell ref="E19:J19"/>
    <mergeCell ref="K19:L19"/>
    <mergeCell ref="E20:J20"/>
    <mergeCell ref="K20:L20"/>
    <mergeCell ref="E21:J21"/>
    <mergeCell ref="K21:L21"/>
    <mergeCell ref="E22:J22"/>
    <mergeCell ref="K22:L22"/>
    <mergeCell ref="E23:J23"/>
    <mergeCell ref="K23:L23"/>
    <mergeCell ref="E24:J24"/>
    <mergeCell ref="K24:L24"/>
    <mergeCell ref="E25:J25"/>
    <mergeCell ref="K25:L25"/>
    <mergeCell ref="A31:L31"/>
    <mergeCell ref="B32:L32"/>
    <mergeCell ref="B33:L33"/>
    <mergeCell ref="E29:J29"/>
    <mergeCell ref="K29:L29"/>
    <mergeCell ref="K27:L27"/>
    <mergeCell ref="E28:J28"/>
    <mergeCell ref="K28:L28"/>
    <mergeCell ref="E30:J30"/>
    <mergeCell ref="K30:L30"/>
    <mergeCell ref="K26:L26"/>
    <mergeCell ref="E26:J26"/>
    <mergeCell ref="A46:L46"/>
    <mergeCell ref="B35:L35"/>
    <mergeCell ref="B36:L36"/>
    <mergeCell ref="B37:L37"/>
    <mergeCell ref="A38:L38"/>
    <mergeCell ref="A39:L39"/>
    <mergeCell ref="A40:L40"/>
    <mergeCell ref="A41:L41"/>
    <mergeCell ref="A42:L42"/>
    <mergeCell ref="A43:L43"/>
    <mergeCell ref="A44:L44"/>
    <mergeCell ref="A45:L45"/>
    <mergeCell ref="B34:L34"/>
    <mergeCell ref="E27:J27"/>
  </mergeCells>
  <conditionalFormatting sqref="A32:A37">
    <cfRule type="containsText" dxfId="540" priority="613" stopIfTrue="1" operator="containsText" text="0">
      <formula>NOT(ISERROR(SEARCH("0",A32)))</formula>
    </cfRule>
    <cfRule type="containsText" dxfId="539" priority="614" stopIfTrue="1" operator="containsText" text="1">
      <formula>NOT(ISERROR(SEARCH("1",A32)))</formula>
    </cfRule>
    <cfRule type="containsText" dxfId="538" priority="615" stopIfTrue="1" operator="containsText" text="2">
      <formula>NOT(ISERROR(SEARCH("2",A32)))</formula>
    </cfRule>
    <cfRule type="containsText" dxfId="537" priority="616" stopIfTrue="1" operator="containsText" text="3">
      <formula>NOT(ISERROR(SEARCH("3",A32)))</formula>
    </cfRule>
    <cfRule type="containsText" dxfId="536" priority="617" stopIfTrue="1" operator="containsText" text="4">
      <formula>NOT(ISERROR(SEARCH("4",A32)))</formula>
    </cfRule>
    <cfRule type="containsText" dxfId="535" priority="618" stopIfTrue="1" operator="containsText" text="5">
      <formula>NOT(ISERROR(SEARCH("5",A32)))</formula>
    </cfRule>
  </conditionalFormatting>
  <conditionalFormatting sqref="K30:L30">
    <cfRule type="containsText" dxfId="534" priority="607" stopIfTrue="1" operator="containsText" text="0">
      <formula>NOT(ISERROR(SEARCH("0",K30)))</formula>
    </cfRule>
    <cfRule type="containsText" dxfId="533" priority="608" stopIfTrue="1" operator="containsText" text="1">
      <formula>NOT(ISERROR(SEARCH("1",K30)))</formula>
    </cfRule>
    <cfRule type="containsText" dxfId="532" priority="609" stopIfTrue="1" operator="containsText" text="2">
      <formula>NOT(ISERROR(SEARCH("2",K30)))</formula>
    </cfRule>
    <cfRule type="containsText" dxfId="531" priority="610" stopIfTrue="1" operator="containsText" text="3">
      <formula>NOT(ISERROR(SEARCH("3",K30)))</formula>
    </cfRule>
    <cfRule type="containsText" dxfId="530" priority="611" stopIfTrue="1" operator="containsText" text="4">
      <formula>NOT(ISERROR(SEARCH("4",K30)))</formula>
    </cfRule>
    <cfRule type="containsText" dxfId="529" priority="612" stopIfTrue="1" operator="containsText" text="5">
      <formula>NOT(ISERROR(SEARCH("5",K30)))</formula>
    </cfRule>
  </conditionalFormatting>
  <conditionalFormatting sqref="K25:L25">
    <cfRule type="containsText" dxfId="528" priority="241" stopIfTrue="1" operator="containsText" text="0">
      <formula>NOT(ISERROR(SEARCH("0",K25)))</formula>
    </cfRule>
    <cfRule type="containsText" dxfId="527" priority="242" stopIfTrue="1" operator="containsText" text="1">
      <formula>NOT(ISERROR(SEARCH("1",K25)))</formula>
    </cfRule>
    <cfRule type="containsText" dxfId="526" priority="243" stopIfTrue="1" operator="containsText" text="2">
      <formula>NOT(ISERROR(SEARCH("2",K25)))</formula>
    </cfRule>
    <cfRule type="containsText" dxfId="525" priority="244" stopIfTrue="1" operator="containsText" text="3">
      <formula>NOT(ISERROR(SEARCH("3",K25)))</formula>
    </cfRule>
    <cfRule type="containsText" dxfId="524" priority="245" stopIfTrue="1" operator="containsText" text="4">
      <formula>NOT(ISERROR(SEARCH("4",K25)))</formula>
    </cfRule>
    <cfRule type="containsText" dxfId="523" priority="246" stopIfTrue="1" operator="containsText" text="5">
      <formula>NOT(ISERROR(SEARCH("5",K25)))</formula>
    </cfRule>
  </conditionalFormatting>
  <conditionalFormatting sqref="K26:L26">
    <cfRule type="containsText" dxfId="522" priority="235" stopIfTrue="1" operator="containsText" text="0">
      <formula>NOT(ISERROR(SEARCH("0",K26)))</formula>
    </cfRule>
    <cfRule type="containsText" dxfId="521" priority="236" stopIfTrue="1" operator="containsText" text="1">
      <formula>NOT(ISERROR(SEARCH("1",K26)))</formula>
    </cfRule>
    <cfRule type="containsText" dxfId="520" priority="237" stopIfTrue="1" operator="containsText" text="2">
      <formula>NOT(ISERROR(SEARCH("2",K26)))</formula>
    </cfRule>
    <cfRule type="containsText" dxfId="519" priority="238" stopIfTrue="1" operator="containsText" text="3">
      <formula>NOT(ISERROR(SEARCH("3",K26)))</formula>
    </cfRule>
    <cfRule type="containsText" dxfId="518" priority="239" stopIfTrue="1" operator="containsText" text="4">
      <formula>NOT(ISERROR(SEARCH("4",K26)))</formula>
    </cfRule>
    <cfRule type="containsText" dxfId="517" priority="240" stopIfTrue="1" operator="containsText" text="5">
      <formula>NOT(ISERROR(SEARCH("5",K26)))</formula>
    </cfRule>
  </conditionalFormatting>
  <conditionalFormatting sqref="K27:L27">
    <cfRule type="containsText" dxfId="516" priority="229" stopIfTrue="1" operator="containsText" text="0">
      <formula>NOT(ISERROR(SEARCH("0",K27)))</formula>
    </cfRule>
    <cfRule type="containsText" dxfId="515" priority="230" stopIfTrue="1" operator="containsText" text="1">
      <formula>NOT(ISERROR(SEARCH("1",K27)))</formula>
    </cfRule>
    <cfRule type="containsText" dxfId="514" priority="231" stopIfTrue="1" operator="containsText" text="2">
      <formula>NOT(ISERROR(SEARCH("2",K27)))</formula>
    </cfRule>
    <cfRule type="containsText" dxfId="513" priority="232" stopIfTrue="1" operator="containsText" text="3">
      <formula>NOT(ISERROR(SEARCH("3",K27)))</formula>
    </cfRule>
    <cfRule type="containsText" dxfId="512" priority="233" stopIfTrue="1" operator="containsText" text="4">
      <formula>NOT(ISERROR(SEARCH("4",K27)))</formula>
    </cfRule>
    <cfRule type="containsText" dxfId="511" priority="234" stopIfTrue="1" operator="containsText" text="5">
      <formula>NOT(ISERROR(SEARCH("5",K27)))</formula>
    </cfRule>
  </conditionalFormatting>
  <conditionalFormatting sqref="K28:L28">
    <cfRule type="containsText" dxfId="510" priority="223" stopIfTrue="1" operator="containsText" text="0">
      <formula>NOT(ISERROR(SEARCH("0",K28)))</formula>
    </cfRule>
    <cfRule type="containsText" dxfId="509" priority="224" stopIfTrue="1" operator="containsText" text="1">
      <formula>NOT(ISERROR(SEARCH("1",K28)))</formula>
    </cfRule>
    <cfRule type="containsText" dxfId="508" priority="225" stopIfTrue="1" operator="containsText" text="2">
      <formula>NOT(ISERROR(SEARCH("2",K28)))</formula>
    </cfRule>
    <cfRule type="containsText" dxfId="507" priority="226" stopIfTrue="1" operator="containsText" text="3">
      <formula>NOT(ISERROR(SEARCH("3",K28)))</formula>
    </cfRule>
    <cfRule type="containsText" dxfId="506" priority="227" stopIfTrue="1" operator="containsText" text="4">
      <formula>NOT(ISERROR(SEARCH("4",K28)))</formula>
    </cfRule>
    <cfRule type="containsText" dxfId="505" priority="228" stopIfTrue="1" operator="containsText" text="5">
      <formula>NOT(ISERROR(SEARCH("5",K28)))</formula>
    </cfRule>
  </conditionalFormatting>
  <conditionalFormatting sqref="K29:L29">
    <cfRule type="containsText" dxfId="504" priority="211" stopIfTrue="1" operator="containsText" text="0">
      <formula>NOT(ISERROR(SEARCH("0",K29)))</formula>
    </cfRule>
    <cfRule type="containsText" dxfId="503" priority="212" stopIfTrue="1" operator="containsText" text="1">
      <formula>NOT(ISERROR(SEARCH("1",K29)))</formula>
    </cfRule>
    <cfRule type="containsText" dxfId="502" priority="213" stopIfTrue="1" operator="containsText" text="2">
      <formula>NOT(ISERROR(SEARCH("2",K29)))</formula>
    </cfRule>
    <cfRule type="containsText" dxfId="501" priority="214" stopIfTrue="1" operator="containsText" text="3">
      <formula>NOT(ISERROR(SEARCH("3",K29)))</formula>
    </cfRule>
    <cfRule type="containsText" dxfId="500" priority="215" stopIfTrue="1" operator="containsText" text="4">
      <formula>NOT(ISERROR(SEARCH("4",K29)))</formula>
    </cfRule>
    <cfRule type="containsText" dxfId="499" priority="216" stopIfTrue="1" operator="containsText" text="5">
      <formula>NOT(ISERROR(SEARCH("5",K29)))</formula>
    </cfRule>
  </conditionalFormatting>
  <conditionalFormatting sqref="K22:L22 K24:L24">
    <cfRule type="containsText" dxfId="498" priority="157" stopIfTrue="1" operator="containsText" text="0">
      <formula>NOT(ISERROR(SEARCH("0",K22)))</formula>
    </cfRule>
    <cfRule type="containsText" dxfId="497" priority="158" stopIfTrue="1" operator="containsText" text="1">
      <formula>NOT(ISERROR(SEARCH("1",K22)))</formula>
    </cfRule>
    <cfRule type="containsText" dxfId="496" priority="159" stopIfTrue="1" operator="containsText" text="2">
      <formula>NOT(ISERROR(SEARCH("2",K22)))</formula>
    </cfRule>
    <cfRule type="containsText" dxfId="495" priority="160" stopIfTrue="1" operator="containsText" text="3">
      <formula>NOT(ISERROR(SEARCH("3",K22)))</formula>
    </cfRule>
    <cfRule type="containsText" dxfId="494" priority="161" stopIfTrue="1" operator="containsText" text="4">
      <formula>NOT(ISERROR(SEARCH("4",K22)))</formula>
    </cfRule>
    <cfRule type="containsText" dxfId="493" priority="162" stopIfTrue="1" operator="containsText" text="5">
      <formula>NOT(ISERROR(SEARCH("5",K22)))</formula>
    </cfRule>
  </conditionalFormatting>
  <conditionalFormatting sqref="K20:L20">
    <cfRule type="containsText" dxfId="492" priority="163" stopIfTrue="1" operator="containsText" text="0">
      <formula>NOT(ISERROR(SEARCH("0",K20)))</formula>
    </cfRule>
    <cfRule type="containsText" dxfId="491" priority="164" stopIfTrue="1" operator="containsText" text="1">
      <formula>NOT(ISERROR(SEARCH("1",K20)))</formula>
    </cfRule>
    <cfRule type="containsText" dxfId="490" priority="165" stopIfTrue="1" operator="containsText" text="2">
      <formula>NOT(ISERROR(SEARCH("2",K20)))</formula>
    </cfRule>
    <cfRule type="containsText" dxfId="489" priority="166" stopIfTrue="1" operator="containsText" text="3">
      <formula>NOT(ISERROR(SEARCH("3",K20)))</formula>
    </cfRule>
    <cfRule type="containsText" dxfId="488" priority="167" stopIfTrue="1" operator="containsText" text="4">
      <formula>NOT(ISERROR(SEARCH("4",K20)))</formula>
    </cfRule>
    <cfRule type="containsText" dxfId="487" priority="168" stopIfTrue="1" operator="containsText" text="5">
      <formula>NOT(ISERROR(SEARCH("5",K20)))</formula>
    </cfRule>
  </conditionalFormatting>
  <conditionalFormatting sqref="K9:L9">
    <cfRule type="containsText" dxfId="486" priority="115" stopIfTrue="1" operator="containsText" text="0">
      <formula>NOT(ISERROR(SEARCH("0",K9)))</formula>
    </cfRule>
    <cfRule type="containsText" dxfId="485" priority="116" stopIfTrue="1" operator="containsText" text="1">
      <formula>NOT(ISERROR(SEARCH("1",K9)))</formula>
    </cfRule>
    <cfRule type="containsText" dxfId="484" priority="117" stopIfTrue="1" operator="containsText" text="2">
      <formula>NOT(ISERROR(SEARCH("2",K9)))</formula>
    </cfRule>
    <cfRule type="containsText" dxfId="483" priority="118" stopIfTrue="1" operator="containsText" text="3">
      <formula>NOT(ISERROR(SEARCH("3",K9)))</formula>
    </cfRule>
    <cfRule type="containsText" dxfId="482" priority="119" stopIfTrue="1" operator="containsText" text="4">
      <formula>NOT(ISERROR(SEARCH("4",K9)))</formula>
    </cfRule>
    <cfRule type="containsText" dxfId="481" priority="120" stopIfTrue="1" operator="containsText" text="5">
      <formula>NOT(ISERROR(SEARCH("5",K9)))</formula>
    </cfRule>
  </conditionalFormatting>
  <conditionalFormatting sqref="K17:L17">
    <cfRule type="containsText" dxfId="480" priority="67" stopIfTrue="1" operator="containsText" text="0">
      <formula>NOT(ISERROR(SEARCH("0",K17)))</formula>
    </cfRule>
    <cfRule type="containsText" dxfId="479" priority="68" stopIfTrue="1" operator="containsText" text="1">
      <formula>NOT(ISERROR(SEARCH("1",K17)))</formula>
    </cfRule>
    <cfRule type="containsText" dxfId="478" priority="69" stopIfTrue="1" operator="containsText" text="2">
      <formula>NOT(ISERROR(SEARCH("2",K17)))</formula>
    </cfRule>
    <cfRule type="containsText" dxfId="477" priority="70" stopIfTrue="1" operator="containsText" text="3">
      <formula>NOT(ISERROR(SEARCH("3",K17)))</formula>
    </cfRule>
    <cfRule type="containsText" dxfId="476" priority="71" stopIfTrue="1" operator="containsText" text="4">
      <formula>NOT(ISERROR(SEARCH("4",K17)))</formula>
    </cfRule>
    <cfRule type="containsText" dxfId="475" priority="72" stopIfTrue="1" operator="containsText" text="5">
      <formula>NOT(ISERROR(SEARCH("5",K17)))</formula>
    </cfRule>
  </conditionalFormatting>
  <conditionalFormatting sqref="K10:L10">
    <cfRule type="containsText" dxfId="474" priority="61" stopIfTrue="1" operator="containsText" text="0">
      <formula>NOT(ISERROR(SEARCH("0",K10)))</formula>
    </cfRule>
    <cfRule type="containsText" dxfId="473" priority="62" stopIfTrue="1" operator="containsText" text="1">
      <formula>NOT(ISERROR(SEARCH("1",K10)))</formula>
    </cfRule>
    <cfRule type="containsText" dxfId="472" priority="63" stopIfTrue="1" operator="containsText" text="2">
      <formula>NOT(ISERROR(SEARCH("2",K10)))</formula>
    </cfRule>
    <cfRule type="containsText" dxfId="471" priority="64" stopIfTrue="1" operator="containsText" text="3">
      <formula>NOT(ISERROR(SEARCH("3",K10)))</formula>
    </cfRule>
    <cfRule type="containsText" dxfId="470" priority="65" stopIfTrue="1" operator="containsText" text="4">
      <formula>NOT(ISERROR(SEARCH("4",K10)))</formula>
    </cfRule>
    <cfRule type="containsText" dxfId="469" priority="66" stopIfTrue="1" operator="containsText" text="5">
      <formula>NOT(ISERROR(SEARCH("5",K10)))</formula>
    </cfRule>
  </conditionalFormatting>
  <conditionalFormatting sqref="K11:L11">
    <cfRule type="containsText" dxfId="468" priority="55" stopIfTrue="1" operator="containsText" text="0">
      <formula>NOT(ISERROR(SEARCH("0",K11)))</formula>
    </cfRule>
    <cfRule type="containsText" dxfId="467" priority="56" stopIfTrue="1" operator="containsText" text="1">
      <formula>NOT(ISERROR(SEARCH("1",K11)))</formula>
    </cfRule>
    <cfRule type="containsText" dxfId="466" priority="57" stopIfTrue="1" operator="containsText" text="2">
      <formula>NOT(ISERROR(SEARCH("2",K11)))</formula>
    </cfRule>
    <cfRule type="containsText" dxfId="465" priority="58" stopIfTrue="1" operator="containsText" text="3">
      <formula>NOT(ISERROR(SEARCH("3",K11)))</formula>
    </cfRule>
    <cfRule type="containsText" dxfId="464" priority="59" stopIfTrue="1" operator="containsText" text="4">
      <formula>NOT(ISERROR(SEARCH("4",K11)))</formula>
    </cfRule>
    <cfRule type="containsText" dxfId="463" priority="60" stopIfTrue="1" operator="containsText" text="5">
      <formula>NOT(ISERROR(SEARCH("5",K11)))</formula>
    </cfRule>
  </conditionalFormatting>
  <conditionalFormatting sqref="K12:L12">
    <cfRule type="containsText" dxfId="462" priority="49" stopIfTrue="1" operator="containsText" text="0">
      <formula>NOT(ISERROR(SEARCH("0",K12)))</formula>
    </cfRule>
    <cfRule type="containsText" dxfId="461" priority="50" stopIfTrue="1" operator="containsText" text="1">
      <formula>NOT(ISERROR(SEARCH("1",K12)))</formula>
    </cfRule>
    <cfRule type="containsText" dxfId="460" priority="51" stopIfTrue="1" operator="containsText" text="2">
      <formula>NOT(ISERROR(SEARCH("2",K12)))</formula>
    </cfRule>
    <cfRule type="containsText" dxfId="459" priority="52" stopIfTrue="1" operator="containsText" text="3">
      <formula>NOT(ISERROR(SEARCH("3",K12)))</formula>
    </cfRule>
    <cfRule type="containsText" dxfId="458" priority="53" stopIfTrue="1" operator="containsText" text="4">
      <formula>NOT(ISERROR(SEARCH("4",K12)))</formula>
    </cfRule>
    <cfRule type="containsText" dxfId="457" priority="54" stopIfTrue="1" operator="containsText" text="5">
      <formula>NOT(ISERROR(SEARCH("5",K12)))</formula>
    </cfRule>
  </conditionalFormatting>
  <conditionalFormatting sqref="K13:L13">
    <cfRule type="containsText" dxfId="456" priority="43" stopIfTrue="1" operator="containsText" text="0">
      <formula>NOT(ISERROR(SEARCH("0",K13)))</formula>
    </cfRule>
    <cfRule type="containsText" dxfId="455" priority="44" stopIfTrue="1" operator="containsText" text="1">
      <formula>NOT(ISERROR(SEARCH("1",K13)))</formula>
    </cfRule>
    <cfRule type="containsText" dxfId="454" priority="45" stopIfTrue="1" operator="containsText" text="2">
      <formula>NOT(ISERROR(SEARCH("2",K13)))</formula>
    </cfRule>
    <cfRule type="containsText" dxfId="453" priority="46" stopIfTrue="1" operator="containsText" text="3">
      <formula>NOT(ISERROR(SEARCH("3",K13)))</formula>
    </cfRule>
    <cfRule type="containsText" dxfId="452" priority="47" stopIfTrue="1" operator="containsText" text="4">
      <formula>NOT(ISERROR(SEARCH("4",K13)))</formula>
    </cfRule>
    <cfRule type="containsText" dxfId="451" priority="48" stopIfTrue="1" operator="containsText" text="5">
      <formula>NOT(ISERROR(SEARCH("5",K13)))</formula>
    </cfRule>
  </conditionalFormatting>
  <conditionalFormatting sqref="K14:L14">
    <cfRule type="containsText" dxfId="450" priority="37" stopIfTrue="1" operator="containsText" text="0">
      <formula>NOT(ISERROR(SEARCH("0",K14)))</formula>
    </cfRule>
    <cfRule type="containsText" dxfId="449" priority="38" stopIfTrue="1" operator="containsText" text="1">
      <formula>NOT(ISERROR(SEARCH("1",K14)))</formula>
    </cfRule>
    <cfRule type="containsText" dxfId="448" priority="39" stopIfTrue="1" operator="containsText" text="2">
      <formula>NOT(ISERROR(SEARCH("2",K14)))</formula>
    </cfRule>
    <cfRule type="containsText" dxfId="447" priority="40" stopIfTrue="1" operator="containsText" text="3">
      <formula>NOT(ISERROR(SEARCH("3",K14)))</formula>
    </cfRule>
    <cfRule type="containsText" dxfId="446" priority="41" stopIfTrue="1" operator="containsText" text="4">
      <formula>NOT(ISERROR(SEARCH("4",K14)))</formula>
    </cfRule>
    <cfRule type="containsText" dxfId="445" priority="42" stopIfTrue="1" operator="containsText" text="5">
      <formula>NOT(ISERROR(SEARCH("5",K14)))</formula>
    </cfRule>
  </conditionalFormatting>
  <conditionalFormatting sqref="K15:L15">
    <cfRule type="containsText" dxfId="444" priority="31" stopIfTrue="1" operator="containsText" text="0">
      <formula>NOT(ISERROR(SEARCH("0",K15)))</formula>
    </cfRule>
    <cfRule type="containsText" dxfId="443" priority="32" stopIfTrue="1" operator="containsText" text="1">
      <formula>NOT(ISERROR(SEARCH("1",K15)))</formula>
    </cfRule>
    <cfRule type="containsText" dxfId="442" priority="33" stopIfTrue="1" operator="containsText" text="2">
      <formula>NOT(ISERROR(SEARCH("2",K15)))</formula>
    </cfRule>
    <cfRule type="containsText" dxfId="441" priority="34" stopIfTrue="1" operator="containsText" text="3">
      <formula>NOT(ISERROR(SEARCH("3",K15)))</formula>
    </cfRule>
    <cfRule type="containsText" dxfId="440" priority="35" stopIfTrue="1" operator="containsText" text="4">
      <formula>NOT(ISERROR(SEARCH("4",K15)))</formula>
    </cfRule>
    <cfRule type="containsText" dxfId="439" priority="36" stopIfTrue="1" operator="containsText" text="5">
      <formula>NOT(ISERROR(SEARCH("5",K15)))</formula>
    </cfRule>
  </conditionalFormatting>
  <conditionalFormatting sqref="K16:L16">
    <cfRule type="containsText" dxfId="438" priority="25" stopIfTrue="1" operator="containsText" text="0">
      <formula>NOT(ISERROR(SEARCH("0",K16)))</formula>
    </cfRule>
    <cfRule type="containsText" dxfId="437" priority="26" stopIfTrue="1" operator="containsText" text="1">
      <formula>NOT(ISERROR(SEARCH("1",K16)))</formula>
    </cfRule>
    <cfRule type="containsText" dxfId="436" priority="27" stopIfTrue="1" operator="containsText" text="2">
      <formula>NOT(ISERROR(SEARCH("2",K16)))</formula>
    </cfRule>
    <cfRule type="containsText" dxfId="435" priority="28" stopIfTrue="1" operator="containsText" text="3">
      <formula>NOT(ISERROR(SEARCH("3",K16)))</formula>
    </cfRule>
    <cfRule type="containsText" dxfId="434" priority="29" stopIfTrue="1" operator="containsText" text="4">
      <formula>NOT(ISERROR(SEARCH("4",K16)))</formula>
    </cfRule>
    <cfRule type="containsText" dxfId="433" priority="30" stopIfTrue="1" operator="containsText" text="5">
      <formula>NOT(ISERROR(SEARCH("5",K16)))</formula>
    </cfRule>
  </conditionalFormatting>
  <conditionalFormatting sqref="K18:L18">
    <cfRule type="containsText" dxfId="432" priority="19" stopIfTrue="1" operator="containsText" text="0">
      <formula>NOT(ISERROR(SEARCH("0",K18)))</formula>
    </cfRule>
    <cfRule type="containsText" dxfId="431" priority="20" stopIfTrue="1" operator="containsText" text="1">
      <formula>NOT(ISERROR(SEARCH("1",K18)))</formula>
    </cfRule>
    <cfRule type="containsText" dxfId="430" priority="21" stopIfTrue="1" operator="containsText" text="2">
      <formula>NOT(ISERROR(SEARCH("2",K18)))</formula>
    </cfRule>
    <cfRule type="containsText" dxfId="429" priority="22" stopIfTrue="1" operator="containsText" text="3">
      <formula>NOT(ISERROR(SEARCH("3",K18)))</formula>
    </cfRule>
    <cfRule type="containsText" dxfId="428" priority="23" stopIfTrue="1" operator="containsText" text="4">
      <formula>NOT(ISERROR(SEARCH("4",K18)))</formula>
    </cfRule>
    <cfRule type="containsText" dxfId="427" priority="24" stopIfTrue="1" operator="containsText" text="5">
      <formula>NOT(ISERROR(SEARCH("5",K18)))</formula>
    </cfRule>
  </conditionalFormatting>
  <conditionalFormatting sqref="K19:L19">
    <cfRule type="containsText" dxfId="426" priority="13" stopIfTrue="1" operator="containsText" text="0">
      <formula>NOT(ISERROR(SEARCH("0",K19)))</formula>
    </cfRule>
    <cfRule type="containsText" dxfId="425" priority="14" stopIfTrue="1" operator="containsText" text="1">
      <formula>NOT(ISERROR(SEARCH("1",K19)))</formula>
    </cfRule>
    <cfRule type="containsText" dxfId="424" priority="15" stopIfTrue="1" operator="containsText" text="2">
      <formula>NOT(ISERROR(SEARCH("2",K19)))</formula>
    </cfRule>
    <cfRule type="containsText" dxfId="423" priority="16" stopIfTrue="1" operator="containsText" text="3">
      <formula>NOT(ISERROR(SEARCH("3",K19)))</formula>
    </cfRule>
    <cfRule type="containsText" dxfId="422" priority="17" stopIfTrue="1" operator="containsText" text="4">
      <formula>NOT(ISERROR(SEARCH("4",K19)))</formula>
    </cfRule>
    <cfRule type="containsText" dxfId="421" priority="18" stopIfTrue="1" operator="containsText" text="5">
      <formula>NOT(ISERROR(SEARCH("5",K19)))</formula>
    </cfRule>
  </conditionalFormatting>
  <conditionalFormatting sqref="K21:L21">
    <cfRule type="containsText" dxfId="420" priority="7" stopIfTrue="1" operator="containsText" text="0">
      <formula>NOT(ISERROR(SEARCH("0",K21)))</formula>
    </cfRule>
    <cfRule type="containsText" dxfId="419" priority="8" stopIfTrue="1" operator="containsText" text="1">
      <formula>NOT(ISERROR(SEARCH("1",K21)))</formula>
    </cfRule>
    <cfRule type="containsText" dxfId="418" priority="9" stopIfTrue="1" operator="containsText" text="2">
      <formula>NOT(ISERROR(SEARCH("2",K21)))</formula>
    </cfRule>
    <cfRule type="containsText" dxfId="417" priority="10" stopIfTrue="1" operator="containsText" text="3">
      <formula>NOT(ISERROR(SEARCH("3",K21)))</formula>
    </cfRule>
    <cfRule type="containsText" dxfId="416" priority="11" stopIfTrue="1" operator="containsText" text="4">
      <formula>NOT(ISERROR(SEARCH("4",K21)))</formula>
    </cfRule>
    <cfRule type="containsText" dxfId="415" priority="12" stopIfTrue="1" operator="containsText" text="5">
      <formula>NOT(ISERROR(SEARCH("5",K21)))</formula>
    </cfRule>
  </conditionalFormatting>
  <conditionalFormatting sqref="K23:L23">
    <cfRule type="containsText" dxfId="414" priority="1" stopIfTrue="1" operator="containsText" text="0">
      <formula>NOT(ISERROR(SEARCH("0",K23)))</formula>
    </cfRule>
    <cfRule type="containsText" dxfId="413" priority="2" stopIfTrue="1" operator="containsText" text="1">
      <formula>NOT(ISERROR(SEARCH("1",K23)))</formula>
    </cfRule>
    <cfRule type="containsText" dxfId="412" priority="3" stopIfTrue="1" operator="containsText" text="2">
      <formula>NOT(ISERROR(SEARCH("2",K23)))</formula>
    </cfRule>
    <cfRule type="containsText" dxfId="411" priority="4" stopIfTrue="1" operator="containsText" text="3">
      <formula>NOT(ISERROR(SEARCH("3",K23)))</formula>
    </cfRule>
    <cfRule type="containsText" dxfId="410" priority="5" stopIfTrue="1" operator="containsText" text="4">
      <formula>NOT(ISERROR(SEARCH("4",K23)))</formula>
    </cfRule>
    <cfRule type="containsText" dxfId="409" priority="6" stopIfTrue="1" operator="containsText" text="5">
      <formula>NOT(ISERROR(SEARCH("5",K23)))</formula>
    </cfRule>
  </conditionalFormatting>
  <printOptions horizontalCentere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AddTargetLateral">
                <anchor moveWithCells="1" sizeWithCells="1">
                  <from>
                    <xdr:col>12</xdr:col>
                    <xdr:colOff>57150</xdr:colOff>
                    <xdr:row>5</xdr:row>
                    <xdr:rowOff>12700</xdr:rowOff>
                  </from>
                  <to>
                    <xdr:col>15</xdr:col>
                    <xdr:colOff>514350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AddrowTL">
                <anchor moveWithCells="1" sizeWithCells="1">
                  <from>
                    <xdr:col>12</xdr:col>
                    <xdr:colOff>50800</xdr:colOff>
                    <xdr:row>0</xdr:row>
                    <xdr:rowOff>50800</xdr:rowOff>
                  </from>
                  <to>
                    <xdr:col>15</xdr:col>
                    <xdr:colOff>508000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DeleteRowTL">
                <anchor moveWithCells="1" sizeWithCells="1">
                  <from>
                    <xdr:col>12</xdr:col>
                    <xdr:colOff>57150</xdr:colOff>
                    <xdr:row>1</xdr:row>
                    <xdr:rowOff>152400</xdr:rowOff>
                  </from>
                  <to>
                    <xdr:col>15</xdr:col>
                    <xdr:colOff>514350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>
    <pageSetUpPr fitToPage="1"/>
  </sheetPr>
  <dimension ref="A1:Y43"/>
  <sheetViews>
    <sheetView topLeftCell="A16" zoomScaleNormal="100" workbookViewId="0">
      <selection activeCell="S24" sqref="Q9:S24"/>
    </sheetView>
  </sheetViews>
  <sheetFormatPr defaultRowHeight="12.5"/>
  <cols>
    <col min="1" max="1" width="7.453125" customWidth="1"/>
    <col min="2" max="2" width="8.54296875" customWidth="1"/>
    <col min="3" max="12" width="7.453125" customWidth="1"/>
    <col min="13" max="13" width="9.1796875" style="23"/>
    <col min="17" max="22" width="15.7265625" customWidth="1"/>
  </cols>
  <sheetData>
    <row r="1" spans="1:25" s="15" customFormat="1" ht="23">
      <c r="A1" s="350" t="s">
        <v>105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160"/>
      <c r="N1" s="161"/>
      <c r="O1" s="161"/>
      <c r="P1" s="161"/>
      <c r="Q1"/>
      <c r="R1" s="127" t="s">
        <v>128</v>
      </c>
      <c r="S1" s="127"/>
      <c r="T1" s="127"/>
      <c r="U1"/>
      <c r="W1"/>
      <c r="X1"/>
      <c r="Y1"/>
    </row>
    <row r="2" spans="1:25" ht="14.5">
      <c r="A2" s="412"/>
      <c r="B2" s="412"/>
      <c r="C2" s="412"/>
      <c r="D2" s="412"/>
      <c r="E2" s="412"/>
      <c r="F2" s="412"/>
      <c r="G2" s="412"/>
      <c r="H2" s="412"/>
      <c r="I2" s="412"/>
      <c r="J2" s="412"/>
      <c r="K2" s="412"/>
      <c r="L2" s="412"/>
      <c r="M2" s="162"/>
      <c r="N2" s="127"/>
      <c r="O2" s="127"/>
      <c r="P2" s="127"/>
      <c r="Q2" s="149" t="s">
        <v>126</v>
      </c>
      <c r="R2" s="126" t="s">
        <v>124</v>
      </c>
    </row>
    <row r="3" spans="1:25" ht="14.5">
      <c r="A3" s="413" t="s">
        <v>101</v>
      </c>
      <c r="B3" s="413"/>
      <c r="C3" s="413"/>
      <c r="D3" s="413"/>
      <c r="E3" s="413"/>
      <c r="F3" s="413"/>
      <c r="G3" s="413"/>
      <c r="H3" s="413"/>
      <c r="I3" s="413"/>
      <c r="J3" s="413"/>
      <c r="K3" s="413"/>
      <c r="L3" s="413"/>
      <c r="M3" s="162"/>
      <c r="N3" s="127"/>
      <c r="O3" s="127"/>
      <c r="P3" s="127"/>
      <c r="Q3" s="149" t="s">
        <v>127</v>
      </c>
      <c r="R3" s="126" t="s">
        <v>125</v>
      </c>
    </row>
    <row r="4" spans="1:25">
      <c r="A4" s="412"/>
      <c r="B4" s="412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162"/>
      <c r="N4" s="127"/>
      <c r="O4" s="127"/>
      <c r="P4" s="127"/>
    </row>
    <row r="5" spans="1:25" ht="23">
      <c r="A5" s="400" t="s">
        <v>165</v>
      </c>
      <c r="B5" s="400"/>
      <c r="C5" s="400"/>
      <c r="D5" s="400"/>
      <c r="E5" s="400"/>
      <c r="F5" s="400"/>
      <c r="G5" s="400"/>
      <c r="H5" s="400"/>
      <c r="I5" s="400"/>
      <c r="J5" s="400"/>
      <c r="K5" s="400"/>
      <c r="L5" s="400"/>
    </row>
    <row r="6" spans="1:25" ht="17.25" customHeight="1">
      <c r="A6" s="386" t="s">
        <v>85</v>
      </c>
      <c r="B6" s="386"/>
      <c r="C6" s="386"/>
      <c r="D6" s="386"/>
      <c r="E6" s="386"/>
      <c r="F6" s="386"/>
      <c r="G6" s="386"/>
      <c r="H6" s="386"/>
      <c r="I6" s="386"/>
      <c r="J6" s="386"/>
      <c r="K6" s="386"/>
      <c r="L6" s="386"/>
      <c r="Q6" s="396" t="s">
        <v>151</v>
      </c>
      <c r="R6" s="396"/>
      <c r="S6" s="396"/>
      <c r="T6" s="396"/>
      <c r="U6" s="396"/>
      <c r="V6" s="396"/>
    </row>
    <row r="7" spans="1:25" ht="13.15" customHeight="1">
      <c r="A7" s="401" t="s">
        <v>86</v>
      </c>
      <c r="B7" s="402"/>
      <c r="C7" s="403" t="s">
        <v>87</v>
      </c>
      <c r="D7" s="402"/>
      <c r="E7" s="404"/>
      <c r="F7" s="405"/>
      <c r="G7" s="405"/>
      <c r="H7" s="405"/>
      <c r="I7" s="405"/>
      <c r="J7" s="406"/>
      <c r="K7" s="407" t="s">
        <v>107</v>
      </c>
      <c r="L7" s="408"/>
      <c r="Q7" s="397" t="s">
        <v>152</v>
      </c>
      <c r="R7" s="397"/>
      <c r="S7" s="398"/>
      <c r="T7" s="399" t="s">
        <v>153</v>
      </c>
      <c r="U7" s="397"/>
      <c r="V7" s="398"/>
    </row>
    <row r="8" spans="1:25" ht="13">
      <c r="A8" s="164" t="s">
        <v>46</v>
      </c>
      <c r="B8" s="108" t="s">
        <v>47</v>
      </c>
      <c r="C8" s="108" t="s">
        <v>88</v>
      </c>
      <c r="D8" s="109" t="s">
        <v>89</v>
      </c>
      <c r="E8" s="409" t="s">
        <v>90</v>
      </c>
      <c r="F8" s="410"/>
      <c r="G8" s="410"/>
      <c r="H8" s="410"/>
      <c r="I8" s="410"/>
      <c r="J8" s="411"/>
      <c r="K8" s="410" t="s">
        <v>91</v>
      </c>
      <c r="L8" s="410"/>
      <c r="Q8" s="144" t="s">
        <v>154</v>
      </c>
      <c r="R8" s="145" t="s">
        <v>155</v>
      </c>
      <c r="S8" s="150" t="s">
        <v>156</v>
      </c>
      <c r="T8" s="151" t="s">
        <v>154</v>
      </c>
      <c r="U8" s="146" t="s">
        <v>155</v>
      </c>
      <c r="V8" s="150" t="s">
        <v>156</v>
      </c>
    </row>
    <row r="9" spans="1:25" ht="21.75" customHeight="1">
      <c r="A9" s="129"/>
      <c r="B9" s="77"/>
      <c r="C9" s="134"/>
      <c r="D9" s="135"/>
      <c r="E9" s="388"/>
      <c r="F9" s="389"/>
      <c r="G9" s="389"/>
      <c r="H9" s="389"/>
      <c r="I9" s="389"/>
      <c r="J9" s="390"/>
      <c r="K9" s="391"/>
      <c r="L9" s="392"/>
      <c r="N9" s="133"/>
      <c r="Q9" s="77"/>
      <c r="R9" s="77"/>
      <c r="S9" s="281"/>
      <c r="T9" s="152"/>
      <c r="U9" s="77"/>
      <c r="V9" s="153"/>
      <c r="W9" s="147"/>
    </row>
    <row r="10" spans="1:25" ht="22.5" customHeight="1">
      <c r="A10" s="129"/>
      <c r="B10" s="77"/>
      <c r="C10" s="134"/>
      <c r="D10" s="135"/>
      <c r="E10" s="388"/>
      <c r="F10" s="389"/>
      <c r="G10" s="389"/>
      <c r="H10" s="389"/>
      <c r="I10" s="389"/>
      <c r="J10" s="390"/>
      <c r="K10" s="391"/>
      <c r="L10" s="392"/>
      <c r="N10" s="133"/>
      <c r="Q10" s="77"/>
      <c r="R10" s="77"/>
      <c r="S10" s="281"/>
      <c r="T10" s="152"/>
      <c r="U10" s="77"/>
      <c r="V10" s="153"/>
      <c r="W10" s="147"/>
    </row>
    <row r="11" spans="1:25" ht="12.75" customHeight="1">
      <c r="A11" s="129"/>
      <c r="B11" s="77"/>
      <c r="C11" s="134"/>
      <c r="D11" s="135"/>
      <c r="E11" s="388"/>
      <c r="F11" s="389"/>
      <c r="G11" s="389"/>
      <c r="H11" s="389"/>
      <c r="I11" s="389"/>
      <c r="J11" s="390"/>
      <c r="K11" s="391"/>
      <c r="L11" s="392"/>
      <c r="N11" s="133"/>
      <c r="Q11" s="77"/>
      <c r="R11" s="77"/>
      <c r="S11" s="281"/>
      <c r="T11" s="152"/>
      <c r="U11" s="77"/>
      <c r="V11" s="153"/>
      <c r="W11" s="147"/>
    </row>
    <row r="12" spans="1:25" ht="30" customHeight="1">
      <c r="A12" s="129"/>
      <c r="B12" s="77"/>
      <c r="C12" s="134"/>
      <c r="D12" s="135"/>
      <c r="E12" s="388"/>
      <c r="F12" s="389"/>
      <c r="G12" s="389"/>
      <c r="H12" s="389"/>
      <c r="I12" s="389"/>
      <c r="J12" s="390"/>
      <c r="K12" s="414"/>
      <c r="L12" s="415"/>
      <c r="N12" s="133"/>
      <c r="Q12" s="77"/>
      <c r="R12" s="77"/>
      <c r="S12" s="281"/>
      <c r="T12" s="152"/>
      <c r="U12" s="77"/>
      <c r="V12" s="153"/>
      <c r="W12" s="147"/>
    </row>
    <row r="13" spans="1:25" ht="26.25" customHeight="1">
      <c r="A13" s="129"/>
      <c r="B13" s="77"/>
      <c r="C13" s="134"/>
      <c r="D13" s="135"/>
      <c r="E13" s="388"/>
      <c r="F13" s="389"/>
      <c r="G13" s="389"/>
      <c r="H13" s="389"/>
      <c r="I13" s="389"/>
      <c r="J13" s="390"/>
      <c r="K13" s="391"/>
      <c r="L13" s="392"/>
      <c r="N13" s="133"/>
      <c r="Q13" s="77"/>
      <c r="R13" s="77"/>
      <c r="S13" s="281"/>
      <c r="T13" s="152"/>
      <c r="U13" s="77"/>
      <c r="V13" s="153"/>
      <c r="W13" s="147"/>
    </row>
    <row r="14" spans="1:25" ht="12.75" customHeight="1">
      <c r="A14" s="129"/>
      <c r="B14" s="77"/>
      <c r="C14" s="134"/>
      <c r="D14" s="135"/>
      <c r="E14" s="388"/>
      <c r="F14" s="389"/>
      <c r="G14" s="389"/>
      <c r="H14" s="389"/>
      <c r="I14" s="389"/>
      <c r="J14" s="390"/>
      <c r="K14" s="391"/>
      <c r="L14" s="392"/>
      <c r="N14" s="133"/>
      <c r="Q14" s="77"/>
      <c r="R14" s="77"/>
      <c r="S14" s="281"/>
      <c r="T14" s="152"/>
      <c r="U14" s="77"/>
      <c r="V14" s="153"/>
      <c r="W14" s="147"/>
    </row>
    <row r="15" spans="1:25">
      <c r="A15" s="129"/>
      <c r="B15" s="77"/>
      <c r="C15" s="134"/>
      <c r="D15" s="135"/>
      <c r="E15" s="388"/>
      <c r="F15" s="389"/>
      <c r="G15" s="389"/>
      <c r="H15" s="389"/>
      <c r="I15" s="389"/>
      <c r="J15" s="390"/>
      <c r="K15" s="391"/>
      <c r="L15" s="392"/>
      <c r="N15" s="133"/>
      <c r="Q15" s="77"/>
      <c r="R15" s="77"/>
      <c r="S15" s="281"/>
      <c r="T15" s="152"/>
      <c r="U15" s="77"/>
      <c r="V15" s="153"/>
      <c r="W15" s="148"/>
    </row>
    <row r="16" spans="1:25">
      <c r="A16" s="129"/>
      <c r="B16" s="77"/>
      <c r="C16" s="134"/>
      <c r="D16" s="135"/>
      <c r="E16" s="388"/>
      <c r="F16" s="389"/>
      <c r="G16" s="389"/>
      <c r="H16" s="389"/>
      <c r="I16" s="389"/>
      <c r="J16" s="390"/>
      <c r="K16" s="391"/>
      <c r="L16" s="392"/>
      <c r="N16" s="133"/>
      <c r="Q16" s="77"/>
      <c r="R16" s="77"/>
      <c r="S16" s="281"/>
      <c r="T16" s="152"/>
      <c r="U16" s="77"/>
      <c r="V16" s="153"/>
      <c r="W16" s="147"/>
    </row>
    <row r="17" spans="1:23">
      <c r="A17" s="129"/>
      <c r="B17" s="77"/>
      <c r="C17" s="134"/>
      <c r="D17" s="135"/>
      <c r="E17" s="388"/>
      <c r="F17" s="389"/>
      <c r="G17" s="389"/>
      <c r="H17" s="389"/>
      <c r="I17" s="389"/>
      <c r="J17" s="390"/>
      <c r="K17" s="391"/>
      <c r="L17" s="392"/>
      <c r="N17" s="133"/>
      <c r="Q17" s="77"/>
      <c r="R17" s="77"/>
      <c r="S17" s="281"/>
      <c r="T17" s="152"/>
      <c r="U17" s="77"/>
      <c r="V17" s="153"/>
      <c r="W17" s="147"/>
    </row>
    <row r="18" spans="1:23" ht="12.75" customHeight="1">
      <c r="A18" s="129"/>
      <c r="B18" s="77"/>
      <c r="C18" s="134"/>
      <c r="D18" s="135"/>
      <c r="E18" s="388"/>
      <c r="F18" s="389"/>
      <c r="G18" s="389"/>
      <c r="H18" s="389"/>
      <c r="I18" s="389"/>
      <c r="J18" s="390"/>
      <c r="K18" s="391"/>
      <c r="L18" s="392"/>
      <c r="N18" s="133"/>
      <c r="Q18" s="77"/>
      <c r="R18" s="77"/>
      <c r="S18" s="281"/>
      <c r="T18" s="152"/>
      <c r="U18" s="77"/>
      <c r="V18" s="153"/>
      <c r="W18" s="147"/>
    </row>
    <row r="19" spans="1:23">
      <c r="A19" s="129"/>
      <c r="B19" s="77"/>
      <c r="C19" s="134"/>
      <c r="D19" s="135"/>
      <c r="E19" s="388"/>
      <c r="F19" s="389"/>
      <c r="G19" s="389"/>
      <c r="H19" s="389"/>
      <c r="I19" s="389"/>
      <c r="J19" s="390"/>
      <c r="K19" s="391"/>
      <c r="L19" s="392"/>
      <c r="N19" s="133"/>
      <c r="Q19" s="77"/>
      <c r="R19" s="77"/>
      <c r="S19" s="281"/>
      <c r="T19" s="152"/>
      <c r="U19" s="77"/>
      <c r="V19" s="153"/>
      <c r="W19" s="147"/>
    </row>
    <row r="20" spans="1:23">
      <c r="A20" s="129"/>
      <c r="B20" s="77"/>
      <c r="C20" s="134"/>
      <c r="D20" s="135"/>
      <c r="E20" s="388"/>
      <c r="F20" s="389"/>
      <c r="G20" s="389"/>
      <c r="H20" s="389"/>
      <c r="I20" s="389"/>
      <c r="J20" s="390"/>
      <c r="K20" s="391"/>
      <c r="L20" s="392"/>
      <c r="N20" s="133"/>
      <c r="Q20" s="77"/>
      <c r="R20" s="77"/>
      <c r="S20" s="281"/>
      <c r="T20" s="152"/>
      <c r="U20" s="77"/>
      <c r="V20" s="153"/>
      <c r="W20" s="147"/>
    </row>
    <row r="21" spans="1:23">
      <c r="A21" s="129"/>
      <c r="B21" s="77"/>
      <c r="C21" s="134"/>
      <c r="D21" s="135"/>
      <c r="E21" s="388"/>
      <c r="F21" s="389"/>
      <c r="G21" s="389"/>
      <c r="H21" s="389"/>
      <c r="I21" s="389"/>
      <c r="J21" s="390"/>
      <c r="K21" s="391"/>
      <c r="L21" s="392"/>
      <c r="N21" s="133"/>
      <c r="Q21" s="77"/>
      <c r="R21" s="77"/>
      <c r="S21" s="281"/>
      <c r="T21" s="152"/>
      <c r="U21" s="77"/>
      <c r="V21" s="153"/>
      <c r="W21" s="147"/>
    </row>
    <row r="22" spans="1:23">
      <c r="A22" s="129"/>
      <c r="B22" s="77"/>
      <c r="C22" s="134"/>
      <c r="D22" s="135"/>
      <c r="E22" s="388"/>
      <c r="F22" s="389"/>
      <c r="G22" s="389"/>
      <c r="H22" s="389"/>
      <c r="I22" s="389"/>
      <c r="J22" s="390"/>
      <c r="K22" s="391"/>
      <c r="L22" s="392"/>
      <c r="N22" s="133"/>
      <c r="Q22" s="77"/>
      <c r="R22" s="77"/>
      <c r="S22" s="281"/>
      <c r="T22" s="152"/>
      <c r="U22" s="77"/>
      <c r="V22" s="153"/>
      <c r="W22" s="147"/>
    </row>
    <row r="23" spans="1:23">
      <c r="A23" s="129"/>
      <c r="B23" s="77"/>
      <c r="C23" s="134"/>
      <c r="D23" s="135"/>
      <c r="E23" s="388"/>
      <c r="F23" s="389"/>
      <c r="G23" s="389"/>
      <c r="H23" s="389"/>
      <c r="I23" s="389"/>
      <c r="J23" s="390"/>
      <c r="K23" s="391"/>
      <c r="L23" s="392"/>
      <c r="N23" s="133"/>
      <c r="Q23" s="77"/>
      <c r="R23" s="77"/>
      <c r="S23" s="281"/>
      <c r="T23" s="152"/>
      <c r="U23" s="77"/>
      <c r="V23" s="153"/>
      <c r="W23" s="147"/>
    </row>
    <row r="24" spans="1:23" ht="13">
      <c r="A24" s="386" t="s">
        <v>97</v>
      </c>
      <c r="B24" s="387"/>
      <c r="C24" s="387"/>
      <c r="D24" s="387"/>
      <c r="E24" s="387"/>
      <c r="F24" s="387"/>
      <c r="G24" s="387"/>
      <c r="H24" s="387"/>
      <c r="I24" s="387"/>
      <c r="J24" s="387"/>
      <c r="K24" s="387"/>
      <c r="L24" s="387"/>
      <c r="Q24" s="77"/>
      <c r="R24" s="77"/>
      <c r="S24" s="281"/>
    </row>
    <row r="25" spans="1:23">
      <c r="A25" s="110">
        <v>5</v>
      </c>
      <c r="B25" s="383"/>
      <c r="C25" s="384"/>
      <c r="D25" s="384"/>
      <c r="E25" s="384"/>
      <c r="F25" s="384"/>
      <c r="G25" s="384"/>
      <c r="H25" s="384"/>
      <c r="I25" s="384"/>
      <c r="J25" s="384"/>
      <c r="K25" s="384"/>
      <c r="L25" s="385"/>
    </row>
    <row r="26" spans="1:23">
      <c r="A26" s="110">
        <v>4</v>
      </c>
      <c r="B26" s="383"/>
      <c r="C26" s="384"/>
      <c r="D26" s="384"/>
      <c r="E26" s="384"/>
      <c r="F26" s="384"/>
      <c r="G26" s="384"/>
      <c r="H26" s="384"/>
      <c r="I26" s="384"/>
      <c r="J26" s="384"/>
      <c r="K26" s="384"/>
      <c r="L26" s="385"/>
    </row>
    <row r="27" spans="1:23" ht="12.75" customHeight="1">
      <c r="A27" s="110">
        <v>3</v>
      </c>
      <c r="B27" s="383"/>
      <c r="C27" s="384"/>
      <c r="D27" s="384"/>
      <c r="E27" s="384"/>
      <c r="F27" s="384"/>
      <c r="G27" s="384"/>
      <c r="H27" s="384"/>
      <c r="I27" s="384"/>
      <c r="J27" s="384"/>
      <c r="K27" s="384"/>
      <c r="L27" s="385"/>
    </row>
    <row r="28" spans="1:23" ht="12.75" customHeight="1">
      <c r="A28" s="110">
        <v>2</v>
      </c>
      <c r="B28" s="383"/>
      <c r="C28" s="384"/>
      <c r="D28" s="384"/>
      <c r="E28" s="384"/>
      <c r="F28" s="384"/>
      <c r="G28" s="384"/>
      <c r="H28" s="384"/>
      <c r="I28" s="384"/>
      <c r="J28" s="384"/>
      <c r="K28" s="384"/>
      <c r="L28" s="385"/>
    </row>
    <row r="29" spans="1:23" ht="12.75" customHeight="1">
      <c r="A29" s="110">
        <v>1</v>
      </c>
      <c r="B29" s="383"/>
      <c r="C29" s="384"/>
      <c r="D29" s="384"/>
      <c r="E29" s="384"/>
      <c r="F29" s="384"/>
      <c r="G29" s="384"/>
      <c r="H29" s="384"/>
      <c r="I29" s="384"/>
      <c r="J29" s="384"/>
      <c r="K29" s="384"/>
      <c r="L29" s="385"/>
    </row>
    <row r="30" spans="1:23" ht="12.75" customHeight="1">
      <c r="A30" s="110">
        <v>0</v>
      </c>
      <c r="B30" s="383"/>
      <c r="C30" s="384"/>
      <c r="D30" s="384"/>
      <c r="E30" s="384"/>
      <c r="F30" s="384"/>
      <c r="G30" s="384"/>
      <c r="H30" s="384"/>
      <c r="I30" s="384"/>
      <c r="J30" s="384"/>
      <c r="K30" s="384"/>
      <c r="L30" s="385"/>
    </row>
    <row r="31" spans="1:23" ht="12.75" customHeight="1">
      <c r="A31" s="381"/>
      <c r="B31" s="382"/>
      <c r="C31" s="382"/>
      <c r="D31" s="382"/>
      <c r="E31" s="382"/>
      <c r="F31" s="382"/>
      <c r="G31" s="382"/>
      <c r="H31" s="382"/>
      <c r="I31" s="382"/>
      <c r="J31" s="382"/>
      <c r="K31" s="382"/>
      <c r="L31" s="382"/>
    </row>
    <row r="32" spans="1:23" ht="12.75" customHeight="1">
      <c r="A32" s="387" t="s">
        <v>161</v>
      </c>
      <c r="B32" s="387"/>
      <c r="C32" s="387"/>
      <c r="D32" s="387"/>
      <c r="E32" s="387"/>
      <c r="F32" s="387"/>
      <c r="G32" s="387"/>
      <c r="H32" s="387"/>
      <c r="I32" s="387"/>
      <c r="J32" s="387"/>
      <c r="K32" s="387"/>
      <c r="L32" s="387"/>
    </row>
    <row r="33" spans="1:12" ht="12.75" customHeight="1">
      <c r="A33" s="394"/>
      <c r="B33" s="394"/>
      <c r="C33" s="394"/>
      <c r="D33" s="394"/>
      <c r="E33" s="394"/>
      <c r="F33" s="394"/>
      <c r="G33" s="394"/>
      <c r="H33" s="394"/>
      <c r="I33" s="394"/>
      <c r="J33" s="394"/>
      <c r="K33" s="394"/>
      <c r="L33" s="394"/>
    </row>
    <row r="34" spans="1:12">
      <c r="A34" s="395"/>
      <c r="B34" s="395"/>
      <c r="C34" s="395"/>
      <c r="D34" s="395"/>
      <c r="E34" s="395"/>
      <c r="F34" s="395"/>
      <c r="G34" s="395"/>
      <c r="H34" s="395"/>
      <c r="I34" s="395"/>
      <c r="J34" s="395"/>
      <c r="K34" s="395"/>
      <c r="L34" s="395"/>
    </row>
    <row r="35" spans="1:12">
      <c r="A35" s="384"/>
      <c r="B35" s="384"/>
      <c r="C35" s="384"/>
      <c r="D35" s="384"/>
      <c r="E35" s="384"/>
      <c r="F35" s="384"/>
      <c r="G35" s="384"/>
      <c r="H35" s="384"/>
      <c r="I35" s="384"/>
      <c r="J35" s="384"/>
      <c r="K35" s="384"/>
      <c r="L35" s="384"/>
    </row>
    <row r="36" spans="1:12" ht="12.75" customHeight="1">
      <c r="A36" s="384"/>
      <c r="B36" s="384"/>
      <c r="C36" s="384"/>
      <c r="D36" s="384"/>
      <c r="E36" s="384"/>
      <c r="F36" s="384"/>
      <c r="G36" s="384"/>
      <c r="H36" s="384"/>
      <c r="I36" s="384"/>
      <c r="J36" s="384"/>
      <c r="K36" s="384"/>
      <c r="L36" s="384"/>
    </row>
    <row r="37" spans="1:12" ht="12.75" customHeight="1">
      <c r="A37" s="384"/>
      <c r="B37" s="384"/>
      <c r="C37" s="384"/>
      <c r="D37" s="384"/>
      <c r="E37" s="384"/>
      <c r="F37" s="384"/>
      <c r="G37" s="384"/>
      <c r="H37" s="384"/>
      <c r="I37" s="384"/>
      <c r="J37" s="384"/>
      <c r="K37" s="384"/>
      <c r="L37" s="384"/>
    </row>
    <row r="38" spans="1:12" ht="12.75" customHeight="1">
      <c r="A38" s="384"/>
      <c r="B38" s="384"/>
      <c r="C38" s="384"/>
      <c r="D38" s="384"/>
      <c r="E38" s="384"/>
      <c r="F38" s="384"/>
      <c r="G38" s="384"/>
      <c r="H38" s="384"/>
      <c r="I38" s="384"/>
      <c r="J38" s="384"/>
      <c r="K38" s="384"/>
      <c r="L38" s="384"/>
    </row>
    <row r="39" spans="1:12" ht="12.75" customHeight="1">
      <c r="A39" s="393"/>
      <c r="B39" s="393"/>
      <c r="C39" s="393"/>
      <c r="D39" s="393"/>
      <c r="E39" s="393"/>
      <c r="F39" s="393"/>
      <c r="G39" s="393"/>
      <c r="H39" s="393"/>
      <c r="I39" s="393"/>
      <c r="J39" s="393"/>
      <c r="K39" s="393"/>
      <c r="L39" s="393"/>
    </row>
    <row r="40" spans="1:12" ht="12.75" customHeight="1"/>
    <row r="41" spans="1:12" ht="12.75" customHeight="1"/>
    <row r="42" spans="1:12" ht="12.75" customHeight="1"/>
    <row r="43" spans="1:12" ht="12.75" customHeight="1"/>
  </sheetData>
  <sheetProtection formatCells="0"/>
  <mergeCells count="61">
    <mergeCell ref="E11:J11"/>
    <mergeCell ref="K11:L11"/>
    <mergeCell ref="K10:L10"/>
    <mergeCell ref="E10:J10"/>
    <mergeCell ref="A1:L1"/>
    <mergeCell ref="A2:L2"/>
    <mergeCell ref="A3:L3"/>
    <mergeCell ref="A4:L4"/>
    <mergeCell ref="A5:L5"/>
    <mergeCell ref="E8:J8"/>
    <mergeCell ref="K8:L8"/>
    <mergeCell ref="E9:J9"/>
    <mergeCell ref="K9:L9"/>
    <mergeCell ref="Q6:V6"/>
    <mergeCell ref="A7:B7"/>
    <mergeCell ref="C7:D7"/>
    <mergeCell ref="E7:J7"/>
    <mergeCell ref="K7:L7"/>
    <mergeCell ref="Q7:S7"/>
    <mergeCell ref="T7:V7"/>
    <mergeCell ref="A6:L6"/>
    <mergeCell ref="E12:J12"/>
    <mergeCell ref="K12:L12"/>
    <mergeCell ref="E13:J13"/>
    <mergeCell ref="K13:L13"/>
    <mergeCell ref="E14:J14"/>
    <mergeCell ref="K14:L14"/>
    <mergeCell ref="E15:J15"/>
    <mergeCell ref="K15:L15"/>
    <mergeCell ref="E16:J16"/>
    <mergeCell ref="K16:L16"/>
    <mergeCell ref="E17:J17"/>
    <mergeCell ref="K17:L17"/>
    <mergeCell ref="E18:J18"/>
    <mergeCell ref="K18:L18"/>
    <mergeCell ref="E19:J19"/>
    <mergeCell ref="K19:L19"/>
    <mergeCell ref="E20:J20"/>
    <mergeCell ref="K20:L20"/>
    <mergeCell ref="E21:J21"/>
    <mergeCell ref="K21:L21"/>
    <mergeCell ref="E22:J22"/>
    <mergeCell ref="K22:L22"/>
    <mergeCell ref="E23:J23"/>
    <mergeCell ref="K23:L23"/>
    <mergeCell ref="B27:L27"/>
    <mergeCell ref="A24:L24"/>
    <mergeCell ref="B25:L25"/>
    <mergeCell ref="B26:L26"/>
    <mergeCell ref="A39:L39"/>
    <mergeCell ref="B28:L28"/>
    <mergeCell ref="B29:L29"/>
    <mergeCell ref="B30:L30"/>
    <mergeCell ref="A31:L31"/>
    <mergeCell ref="A32:L32"/>
    <mergeCell ref="A33:L33"/>
    <mergeCell ref="A34:L34"/>
    <mergeCell ref="A35:L35"/>
    <mergeCell ref="A36:L36"/>
    <mergeCell ref="A37:L37"/>
    <mergeCell ref="A38:L38"/>
  </mergeCells>
  <conditionalFormatting sqref="A25:A30">
    <cfRule type="containsText" dxfId="408" priority="619" stopIfTrue="1" operator="containsText" text="0">
      <formula>NOT(ISERROR(SEARCH("0",A25)))</formula>
    </cfRule>
    <cfRule type="containsText" dxfId="407" priority="620" stopIfTrue="1" operator="containsText" text="1">
      <formula>NOT(ISERROR(SEARCH("1",A25)))</formula>
    </cfRule>
    <cfRule type="containsText" dxfId="406" priority="621" stopIfTrue="1" operator="containsText" text="2">
      <formula>NOT(ISERROR(SEARCH("2",A25)))</formula>
    </cfRule>
    <cfRule type="containsText" dxfId="405" priority="622" stopIfTrue="1" operator="containsText" text="3">
      <formula>NOT(ISERROR(SEARCH("3",A25)))</formula>
    </cfRule>
    <cfRule type="containsText" dxfId="404" priority="623" stopIfTrue="1" operator="containsText" text="4">
      <formula>NOT(ISERROR(SEARCH("4",A25)))</formula>
    </cfRule>
    <cfRule type="containsText" dxfId="403" priority="624" stopIfTrue="1" operator="containsText" text="5">
      <formula>NOT(ISERROR(SEARCH("5",A25)))</formula>
    </cfRule>
  </conditionalFormatting>
  <conditionalFormatting sqref="K23:L23">
    <cfRule type="containsText" dxfId="402" priority="247" stopIfTrue="1" operator="containsText" text="0">
      <formula>NOT(ISERROR(SEARCH("0",K23)))</formula>
    </cfRule>
    <cfRule type="containsText" dxfId="401" priority="248" stopIfTrue="1" operator="containsText" text="1">
      <formula>NOT(ISERROR(SEARCH("1",K23)))</formula>
    </cfRule>
    <cfRule type="containsText" dxfId="400" priority="249" stopIfTrue="1" operator="containsText" text="2">
      <formula>NOT(ISERROR(SEARCH("2",K23)))</formula>
    </cfRule>
    <cfRule type="containsText" dxfId="399" priority="250" stopIfTrue="1" operator="containsText" text="3">
      <formula>NOT(ISERROR(SEARCH("3",K23)))</formula>
    </cfRule>
    <cfRule type="containsText" dxfId="398" priority="251" stopIfTrue="1" operator="containsText" text="4">
      <formula>NOT(ISERROR(SEARCH("4",K23)))</formula>
    </cfRule>
    <cfRule type="containsText" dxfId="397" priority="252" stopIfTrue="1" operator="containsText" text="5">
      <formula>NOT(ISERROR(SEARCH("5",K23)))</formula>
    </cfRule>
  </conditionalFormatting>
  <conditionalFormatting sqref="K22:L22">
    <cfRule type="containsText" dxfId="396" priority="205" stopIfTrue="1" operator="containsText" text="0">
      <formula>NOT(ISERROR(SEARCH("0",K22)))</formula>
    </cfRule>
    <cfRule type="containsText" dxfId="395" priority="206" stopIfTrue="1" operator="containsText" text="1">
      <formula>NOT(ISERROR(SEARCH("1",K22)))</formula>
    </cfRule>
    <cfRule type="containsText" dxfId="394" priority="207" stopIfTrue="1" operator="containsText" text="2">
      <formula>NOT(ISERROR(SEARCH("2",K22)))</formula>
    </cfRule>
    <cfRule type="containsText" dxfId="393" priority="208" stopIfTrue="1" operator="containsText" text="3">
      <formula>NOT(ISERROR(SEARCH("3",K22)))</formula>
    </cfRule>
    <cfRule type="containsText" dxfId="392" priority="209" stopIfTrue="1" operator="containsText" text="4">
      <formula>NOT(ISERROR(SEARCH("4",K22)))</formula>
    </cfRule>
    <cfRule type="containsText" dxfId="391" priority="210" stopIfTrue="1" operator="containsText" text="5">
      <formula>NOT(ISERROR(SEARCH("5",K22)))</formula>
    </cfRule>
  </conditionalFormatting>
  <conditionalFormatting sqref="K12:L12">
    <cfRule type="containsText" dxfId="390" priority="103" stopIfTrue="1" operator="containsText" text="0">
      <formula>NOT(ISERROR(SEARCH("0",K12)))</formula>
    </cfRule>
    <cfRule type="containsText" dxfId="389" priority="104" stopIfTrue="1" operator="containsText" text="1">
      <formula>NOT(ISERROR(SEARCH("1",K12)))</formula>
    </cfRule>
    <cfRule type="containsText" dxfId="388" priority="105" stopIfTrue="1" operator="containsText" text="2">
      <formula>NOT(ISERROR(SEARCH("2",K12)))</formula>
    </cfRule>
    <cfRule type="containsText" dxfId="387" priority="106" stopIfTrue="1" operator="containsText" text="3">
      <formula>NOT(ISERROR(SEARCH("3",K12)))</formula>
    </cfRule>
    <cfRule type="containsText" dxfId="386" priority="107" stopIfTrue="1" operator="containsText" text="4">
      <formula>NOT(ISERROR(SEARCH("4",K12)))</formula>
    </cfRule>
    <cfRule type="containsText" dxfId="385" priority="108" stopIfTrue="1" operator="containsText" text="5">
      <formula>NOT(ISERROR(SEARCH("5",K12)))</formula>
    </cfRule>
  </conditionalFormatting>
  <conditionalFormatting sqref="K9:L9">
    <cfRule type="containsText" dxfId="384" priority="121" stopIfTrue="1" operator="containsText" text="0">
      <formula>NOT(ISERROR(SEARCH("0",K9)))</formula>
    </cfRule>
    <cfRule type="containsText" dxfId="383" priority="122" stopIfTrue="1" operator="containsText" text="1">
      <formula>NOT(ISERROR(SEARCH("1",K9)))</formula>
    </cfRule>
    <cfRule type="containsText" dxfId="382" priority="123" stopIfTrue="1" operator="containsText" text="2">
      <formula>NOT(ISERROR(SEARCH("2",K9)))</formula>
    </cfRule>
    <cfRule type="containsText" dxfId="381" priority="124" stopIfTrue="1" operator="containsText" text="3">
      <formula>NOT(ISERROR(SEARCH("3",K9)))</formula>
    </cfRule>
    <cfRule type="containsText" dxfId="380" priority="125" stopIfTrue="1" operator="containsText" text="4">
      <formula>NOT(ISERROR(SEARCH("4",K9)))</formula>
    </cfRule>
    <cfRule type="containsText" dxfId="379" priority="126" stopIfTrue="1" operator="containsText" text="5">
      <formula>NOT(ISERROR(SEARCH("5",K9)))</formula>
    </cfRule>
  </conditionalFormatting>
  <conditionalFormatting sqref="K10:L10">
    <cfRule type="containsText" dxfId="378" priority="115" stopIfTrue="1" operator="containsText" text="0">
      <formula>NOT(ISERROR(SEARCH("0",K10)))</formula>
    </cfRule>
    <cfRule type="containsText" dxfId="377" priority="116" stopIfTrue="1" operator="containsText" text="1">
      <formula>NOT(ISERROR(SEARCH("1",K10)))</formula>
    </cfRule>
    <cfRule type="containsText" dxfId="376" priority="117" stopIfTrue="1" operator="containsText" text="2">
      <formula>NOT(ISERROR(SEARCH("2",K10)))</formula>
    </cfRule>
    <cfRule type="containsText" dxfId="375" priority="118" stopIfTrue="1" operator="containsText" text="3">
      <formula>NOT(ISERROR(SEARCH("3",K10)))</formula>
    </cfRule>
    <cfRule type="containsText" dxfId="374" priority="119" stopIfTrue="1" operator="containsText" text="4">
      <formula>NOT(ISERROR(SEARCH("4",K10)))</formula>
    </cfRule>
    <cfRule type="containsText" dxfId="373" priority="120" stopIfTrue="1" operator="containsText" text="5">
      <formula>NOT(ISERROR(SEARCH("5",K10)))</formula>
    </cfRule>
  </conditionalFormatting>
  <conditionalFormatting sqref="K13:L13">
    <cfRule type="containsText" dxfId="372" priority="97" stopIfTrue="1" operator="containsText" text="0">
      <formula>NOT(ISERROR(SEARCH("0",K13)))</formula>
    </cfRule>
    <cfRule type="containsText" dxfId="371" priority="98" stopIfTrue="1" operator="containsText" text="1">
      <formula>NOT(ISERROR(SEARCH("1",K13)))</formula>
    </cfRule>
    <cfRule type="containsText" dxfId="370" priority="99" stopIfTrue="1" operator="containsText" text="2">
      <formula>NOT(ISERROR(SEARCH("2",K13)))</formula>
    </cfRule>
    <cfRule type="containsText" dxfId="369" priority="100" stopIfTrue="1" operator="containsText" text="3">
      <formula>NOT(ISERROR(SEARCH("3",K13)))</formula>
    </cfRule>
    <cfRule type="containsText" dxfId="368" priority="101" stopIfTrue="1" operator="containsText" text="4">
      <formula>NOT(ISERROR(SEARCH("4",K13)))</formula>
    </cfRule>
    <cfRule type="containsText" dxfId="367" priority="102" stopIfTrue="1" operator="containsText" text="5">
      <formula>NOT(ISERROR(SEARCH("5",K13)))</formula>
    </cfRule>
  </conditionalFormatting>
  <conditionalFormatting sqref="K14:L14">
    <cfRule type="containsText" dxfId="366" priority="91" stopIfTrue="1" operator="containsText" text="0">
      <formula>NOT(ISERROR(SEARCH("0",K14)))</formula>
    </cfRule>
    <cfRule type="containsText" dxfId="365" priority="92" stopIfTrue="1" operator="containsText" text="1">
      <formula>NOT(ISERROR(SEARCH("1",K14)))</formula>
    </cfRule>
    <cfRule type="containsText" dxfId="364" priority="93" stopIfTrue="1" operator="containsText" text="2">
      <formula>NOT(ISERROR(SEARCH("2",K14)))</formula>
    </cfRule>
    <cfRule type="containsText" dxfId="363" priority="94" stopIfTrue="1" operator="containsText" text="3">
      <formula>NOT(ISERROR(SEARCH("3",K14)))</formula>
    </cfRule>
    <cfRule type="containsText" dxfId="362" priority="95" stopIfTrue="1" operator="containsText" text="4">
      <formula>NOT(ISERROR(SEARCH("4",K14)))</formula>
    </cfRule>
    <cfRule type="containsText" dxfId="361" priority="96" stopIfTrue="1" operator="containsText" text="5">
      <formula>NOT(ISERROR(SEARCH("5",K14)))</formula>
    </cfRule>
  </conditionalFormatting>
  <conditionalFormatting sqref="K16:L16">
    <cfRule type="containsText" dxfId="360" priority="79" stopIfTrue="1" operator="containsText" text="0">
      <formula>NOT(ISERROR(SEARCH("0",K16)))</formula>
    </cfRule>
    <cfRule type="containsText" dxfId="359" priority="80" stopIfTrue="1" operator="containsText" text="1">
      <formula>NOT(ISERROR(SEARCH("1",K16)))</formula>
    </cfRule>
    <cfRule type="containsText" dxfId="358" priority="81" stopIfTrue="1" operator="containsText" text="2">
      <formula>NOT(ISERROR(SEARCH("2",K16)))</formula>
    </cfRule>
    <cfRule type="containsText" dxfId="357" priority="82" stopIfTrue="1" operator="containsText" text="3">
      <formula>NOT(ISERROR(SEARCH("3",K16)))</formula>
    </cfRule>
    <cfRule type="containsText" dxfId="356" priority="83" stopIfTrue="1" operator="containsText" text="4">
      <formula>NOT(ISERROR(SEARCH("4",K16)))</formula>
    </cfRule>
    <cfRule type="containsText" dxfId="355" priority="84" stopIfTrue="1" operator="containsText" text="5">
      <formula>NOT(ISERROR(SEARCH("5",K16)))</formula>
    </cfRule>
  </conditionalFormatting>
  <conditionalFormatting sqref="K17:L17">
    <cfRule type="containsText" dxfId="354" priority="73" stopIfTrue="1" operator="containsText" text="0">
      <formula>NOT(ISERROR(SEARCH("0",K17)))</formula>
    </cfRule>
    <cfRule type="containsText" dxfId="353" priority="74" stopIfTrue="1" operator="containsText" text="1">
      <formula>NOT(ISERROR(SEARCH("1",K17)))</formula>
    </cfRule>
    <cfRule type="containsText" dxfId="352" priority="75" stopIfTrue="1" operator="containsText" text="2">
      <formula>NOT(ISERROR(SEARCH("2",K17)))</formula>
    </cfRule>
    <cfRule type="containsText" dxfId="351" priority="76" stopIfTrue="1" operator="containsText" text="3">
      <formula>NOT(ISERROR(SEARCH("3",K17)))</formula>
    </cfRule>
    <cfRule type="containsText" dxfId="350" priority="77" stopIfTrue="1" operator="containsText" text="4">
      <formula>NOT(ISERROR(SEARCH("4",K17)))</formula>
    </cfRule>
    <cfRule type="containsText" dxfId="349" priority="78" stopIfTrue="1" operator="containsText" text="5">
      <formula>NOT(ISERROR(SEARCH("5",K17)))</formula>
    </cfRule>
  </conditionalFormatting>
  <conditionalFormatting sqref="K18:L18">
    <cfRule type="containsText" dxfId="348" priority="67" stopIfTrue="1" operator="containsText" text="0">
      <formula>NOT(ISERROR(SEARCH("0",K18)))</formula>
    </cfRule>
    <cfRule type="containsText" dxfId="347" priority="68" stopIfTrue="1" operator="containsText" text="1">
      <formula>NOT(ISERROR(SEARCH("1",K18)))</formula>
    </cfRule>
    <cfRule type="containsText" dxfId="346" priority="69" stopIfTrue="1" operator="containsText" text="2">
      <formula>NOT(ISERROR(SEARCH("2",K18)))</formula>
    </cfRule>
    <cfRule type="containsText" dxfId="345" priority="70" stopIfTrue="1" operator="containsText" text="3">
      <formula>NOT(ISERROR(SEARCH("3",K18)))</formula>
    </cfRule>
    <cfRule type="containsText" dxfId="344" priority="71" stopIfTrue="1" operator="containsText" text="4">
      <formula>NOT(ISERROR(SEARCH("4",K18)))</formula>
    </cfRule>
    <cfRule type="containsText" dxfId="343" priority="72" stopIfTrue="1" operator="containsText" text="5">
      <formula>NOT(ISERROR(SEARCH("5",K18)))</formula>
    </cfRule>
  </conditionalFormatting>
  <conditionalFormatting sqref="K19:L19">
    <cfRule type="containsText" dxfId="342" priority="61" stopIfTrue="1" operator="containsText" text="0">
      <formula>NOT(ISERROR(SEARCH("0",K19)))</formula>
    </cfRule>
    <cfRule type="containsText" dxfId="341" priority="62" stopIfTrue="1" operator="containsText" text="1">
      <formula>NOT(ISERROR(SEARCH("1",K19)))</formula>
    </cfRule>
    <cfRule type="containsText" dxfId="340" priority="63" stopIfTrue="1" operator="containsText" text="2">
      <formula>NOT(ISERROR(SEARCH("2",K19)))</formula>
    </cfRule>
    <cfRule type="containsText" dxfId="339" priority="64" stopIfTrue="1" operator="containsText" text="3">
      <formula>NOT(ISERROR(SEARCH("3",K19)))</formula>
    </cfRule>
    <cfRule type="containsText" dxfId="338" priority="65" stopIfTrue="1" operator="containsText" text="4">
      <formula>NOT(ISERROR(SEARCH("4",K19)))</formula>
    </cfRule>
    <cfRule type="containsText" dxfId="337" priority="66" stopIfTrue="1" operator="containsText" text="5">
      <formula>NOT(ISERROR(SEARCH("5",K19)))</formula>
    </cfRule>
  </conditionalFormatting>
  <conditionalFormatting sqref="K20:L20">
    <cfRule type="containsText" dxfId="336" priority="55" stopIfTrue="1" operator="containsText" text="0">
      <formula>NOT(ISERROR(SEARCH("0",K20)))</formula>
    </cfRule>
    <cfRule type="containsText" dxfId="335" priority="56" stopIfTrue="1" operator="containsText" text="1">
      <formula>NOT(ISERROR(SEARCH("1",K20)))</formula>
    </cfRule>
    <cfRule type="containsText" dxfId="334" priority="57" stopIfTrue="1" operator="containsText" text="2">
      <formula>NOT(ISERROR(SEARCH("2",K20)))</formula>
    </cfRule>
    <cfRule type="containsText" dxfId="333" priority="58" stopIfTrue="1" operator="containsText" text="3">
      <formula>NOT(ISERROR(SEARCH("3",K20)))</formula>
    </cfRule>
    <cfRule type="containsText" dxfId="332" priority="59" stopIfTrue="1" operator="containsText" text="4">
      <formula>NOT(ISERROR(SEARCH("4",K20)))</formula>
    </cfRule>
    <cfRule type="containsText" dxfId="331" priority="60" stopIfTrue="1" operator="containsText" text="5">
      <formula>NOT(ISERROR(SEARCH("5",K20)))</formula>
    </cfRule>
  </conditionalFormatting>
  <conditionalFormatting sqref="K11:L11">
    <cfRule type="containsText" dxfId="330" priority="43" stopIfTrue="1" operator="containsText" text="0">
      <formula>NOT(ISERROR(SEARCH("0",K11)))</formula>
    </cfRule>
    <cfRule type="containsText" dxfId="329" priority="44" stopIfTrue="1" operator="containsText" text="1">
      <formula>NOT(ISERROR(SEARCH("1",K11)))</formula>
    </cfRule>
    <cfRule type="containsText" dxfId="328" priority="45" stopIfTrue="1" operator="containsText" text="2">
      <formula>NOT(ISERROR(SEARCH("2",K11)))</formula>
    </cfRule>
    <cfRule type="containsText" dxfId="327" priority="46" stopIfTrue="1" operator="containsText" text="3">
      <formula>NOT(ISERROR(SEARCH("3",K11)))</formula>
    </cfRule>
    <cfRule type="containsText" dxfId="326" priority="47" stopIfTrue="1" operator="containsText" text="4">
      <formula>NOT(ISERROR(SEARCH("4",K11)))</formula>
    </cfRule>
    <cfRule type="containsText" dxfId="325" priority="48" stopIfTrue="1" operator="containsText" text="5">
      <formula>NOT(ISERROR(SEARCH("5",K11)))</formula>
    </cfRule>
  </conditionalFormatting>
  <conditionalFormatting sqref="K21:L21">
    <cfRule type="containsText" dxfId="324" priority="31" stopIfTrue="1" operator="containsText" text="0">
      <formula>NOT(ISERROR(SEARCH("0",K21)))</formula>
    </cfRule>
    <cfRule type="containsText" dxfId="323" priority="32" stopIfTrue="1" operator="containsText" text="1">
      <formula>NOT(ISERROR(SEARCH("1",K21)))</formula>
    </cfRule>
    <cfRule type="containsText" dxfId="322" priority="33" stopIfTrue="1" operator="containsText" text="2">
      <formula>NOT(ISERROR(SEARCH("2",K21)))</formula>
    </cfRule>
    <cfRule type="containsText" dxfId="321" priority="34" stopIfTrue="1" operator="containsText" text="3">
      <formula>NOT(ISERROR(SEARCH("3",K21)))</formula>
    </cfRule>
    <cfRule type="containsText" dxfId="320" priority="35" stopIfTrue="1" operator="containsText" text="4">
      <formula>NOT(ISERROR(SEARCH("4",K21)))</formula>
    </cfRule>
    <cfRule type="containsText" dxfId="319" priority="36" stopIfTrue="1" operator="containsText" text="5">
      <formula>NOT(ISERROR(SEARCH("5",K21)))</formula>
    </cfRule>
  </conditionalFormatting>
  <conditionalFormatting sqref="K15:L15">
    <cfRule type="containsText" dxfId="318" priority="37" stopIfTrue="1" operator="containsText" text="0">
      <formula>NOT(ISERROR(SEARCH("0",K15)))</formula>
    </cfRule>
    <cfRule type="containsText" dxfId="317" priority="38" stopIfTrue="1" operator="containsText" text="1">
      <formula>NOT(ISERROR(SEARCH("1",K15)))</formula>
    </cfRule>
    <cfRule type="containsText" dxfId="316" priority="39" stopIfTrue="1" operator="containsText" text="2">
      <formula>NOT(ISERROR(SEARCH("2",K15)))</formula>
    </cfRule>
    <cfRule type="containsText" dxfId="315" priority="40" stopIfTrue="1" operator="containsText" text="3">
      <formula>NOT(ISERROR(SEARCH("3",K15)))</formula>
    </cfRule>
    <cfRule type="containsText" dxfId="314" priority="41" stopIfTrue="1" operator="containsText" text="4">
      <formula>NOT(ISERROR(SEARCH("4",K15)))</formula>
    </cfRule>
    <cfRule type="containsText" dxfId="313" priority="42" stopIfTrue="1" operator="containsText" text="5">
      <formula>NOT(ISERROR(SEARCH("5",K15)))</formula>
    </cfRule>
  </conditionalFormatting>
  <printOptions horizontalCentere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AddTargetLateral">
                <anchor moveWithCells="1" sizeWithCells="1">
                  <from>
                    <xdr:col>12</xdr:col>
                    <xdr:colOff>57150</xdr:colOff>
                    <xdr:row>5</xdr:row>
                    <xdr:rowOff>12700</xdr:rowOff>
                  </from>
                  <to>
                    <xdr:col>15</xdr:col>
                    <xdr:colOff>514350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AddrowTL">
                <anchor moveWithCells="1" sizeWithCells="1">
                  <from>
                    <xdr:col>12</xdr:col>
                    <xdr:colOff>50800</xdr:colOff>
                    <xdr:row>0</xdr:row>
                    <xdr:rowOff>50800</xdr:rowOff>
                  </from>
                  <to>
                    <xdr:col>15</xdr:col>
                    <xdr:colOff>508000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6" name="Button 3">
              <controlPr defaultSize="0" print="0" autoFill="0" autoPict="0" macro="[0]!DeleteRowTL">
                <anchor moveWithCells="1" sizeWithCells="1">
                  <from>
                    <xdr:col>12</xdr:col>
                    <xdr:colOff>57150</xdr:colOff>
                    <xdr:row>1</xdr:row>
                    <xdr:rowOff>152400</xdr:rowOff>
                  </from>
                  <to>
                    <xdr:col>15</xdr:col>
                    <xdr:colOff>514350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O23"/>
  <sheetViews>
    <sheetView showZeros="0" workbookViewId="0">
      <selection activeCell="D31" sqref="D31"/>
    </sheetView>
  </sheetViews>
  <sheetFormatPr defaultRowHeight="12.5"/>
  <cols>
    <col min="1" max="1" width="18.1796875" customWidth="1"/>
    <col min="2" max="8" width="17.54296875" customWidth="1"/>
  </cols>
  <sheetData>
    <row r="1" spans="1:15" ht="23">
      <c r="A1" s="21" t="s">
        <v>129</v>
      </c>
    </row>
    <row r="3" spans="1:15" ht="14">
      <c r="A3" s="413" t="s">
        <v>101</v>
      </c>
      <c r="B3" s="413"/>
      <c r="C3" s="413"/>
      <c r="D3" s="413"/>
      <c r="E3" s="413"/>
      <c r="F3" s="413"/>
      <c r="G3" s="413"/>
      <c r="H3" s="413"/>
    </row>
    <row r="5" spans="1:15" ht="13">
      <c r="A5" s="52"/>
      <c r="B5" s="43" t="s">
        <v>72</v>
      </c>
      <c r="C5" s="43" t="s">
        <v>130</v>
      </c>
      <c r="D5" s="43" t="s">
        <v>131</v>
      </c>
      <c r="E5" s="43" t="s">
        <v>132</v>
      </c>
      <c r="F5" s="43" t="s">
        <v>133</v>
      </c>
      <c r="G5" s="43" t="s">
        <v>134</v>
      </c>
      <c r="H5" s="44" t="s">
        <v>135</v>
      </c>
    </row>
    <row r="6" spans="1:15">
      <c r="A6" s="53" t="s">
        <v>39</v>
      </c>
      <c r="B6" s="82">
        <f t="shared" ref="B6:B13" si="0">SUM(C6:H6)</f>
        <v>1914</v>
      </c>
      <c r="C6" s="45">
        <f>DSUM(TARDB,'T&amp;L 1'!$B$9,Criteria!D$3:D$4)-DSUM(TARDB,'T&amp;L 1'!$A$9,Criteria!D$3:D$4)</f>
        <v>0</v>
      </c>
      <c r="D6" s="45">
        <f>DSUM(TARDB,'T&amp;L 1'!$B$9,Criteria!E$3:E$4)-DSUM(TARDB,'T&amp;L 1'!$A$9,Criteria!E$3:E$4)</f>
        <v>0</v>
      </c>
      <c r="E6" s="45">
        <f>DSUM(TARDB,'T&amp;L 1'!$B$9,Criteria!F$3:F$4)-DSUM(TARDB,'T&amp;L 1'!$A$9,Criteria!F$3:F$4)</f>
        <v>0</v>
      </c>
      <c r="F6" s="45">
        <f>DSUM(TARDB,'T&amp;L 1'!$B$9,Criteria!G$3:G$4)-DSUM(TARDB,'T&amp;L 1'!$A$9,Criteria!G$3:G$4)</f>
        <v>427</v>
      </c>
      <c r="G6" s="45">
        <f>DSUM(TARDB,'T&amp;L 1'!$B$9,Criteria!H$3:H$4)-DSUM(TARDB,'T&amp;L 1'!$A$9,Criteria!H$3:H$4)</f>
        <v>1487</v>
      </c>
      <c r="H6" s="45">
        <f>DSUM(TARDB,'T&amp;L 1'!$B$9,Criteria!I$3:I$4)-DSUM(TARDB,'T&amp;L 1'!$A$9,Criteria!I$3:I$4)</f>
        <v>0</v>
      </c>
      <c r="J6" s="424" t="s">
        <v>150</v>
      </c>
      <c r="K6" s="424"/>
      <c r="L6" s="424"/>
      <c r="M6" s="424"/>
      <c r="N6" s="424"/>
      <c r="O6" s="424"/>
    </row>
    <row r="7" spans="1:15">
      <c r="A7" s="78" t="s">
        <v>40</v>
      </c>
      <c r="B7" s="82">
        <f t="shared" si="0"/>
        <v>1266</v>
      </c>
      <c r="C7" s="82">
        <f>DSUM('T&amp;L 2'!TARDB2,'T&amp;L 2'!$B$6,Criteria!D$3:D$4)-DSUM('T&amp;L 2'!TARDB2,'T&amp;L 2'!$A$6,Criteria!D$3:D$4)</f>
        <v>0</v>
      </c>
      <c r="D7" s="82">
        <f>DSUM('T&amp;L 2'!TARDB2,'T&amp;L 2'!$B$6,Criteria!E$3:E$4)-DSUM('T&amp;L 2'!TARDB2,'T&amp;L 2'!$A$6,Criteria!E$3:E$4)</f>
        <v>0</v>
      </c>
      <c r="E7" s="82">
        <f>DSUM('T&amp;L 2'!TARDB2,'T&amp;L 2'!$B$6,Criteria!F$3:F$4)-DSUM('T&amp;L 2'!TARDB2,'T&amp;L 2'!$A$6,Criteria!F$3:F$4)</f>
        <v>0</v>
      </c>
      <c r="F7" s="82">
        <f>DSUM('T&amp;L 2'!TARDB2,'T&amp;L 2'!$B$6,Criteria!G$3:G$4)-DSUM('T&amp;L 2'!TARDB2,'T&amp;L 2'!$A$6,Criteria!G$3:G$4)</f>
        <v>110</v>
      </c>
      <c r="G7" s="82">
        <f>DSUM('T&amp;L 2'!TARDB2,'T&amp;L 2'!$B$6,Criteria!H$3:H$4)-DSUM('T&amp;L 2'!TARDB2,'T&amp;L 2'!$A$6,Criteria!H$3:H$4)</f>
        <v>1156</v>
      </c>
      <c r="H7" s="82">
        <f>DSUM('T&amp;L 2'!TARDB2,'T&amp;L 2'!$B$6,Criteria!I$3:I$4)-DSUM('T&amp;L 2'!TARDB2,'T&amp;L 2'!$A$6,Criteria!I$3:I$4)</f>
        <v>0</v>
      </c>
      <c r="J7" s="424"/>
      <c r="K7" s="424"/>
      <c r="L7" s="424"/>
      <c r="M7" s="424"/>
      <c r="N7" s="424"/>
      <c r="O7" s="424"/>
    </row>
    <row r="8" spans="1:15">
      <c r="A8" s="81" t="s">
        <v>41</v>
      </c>
      <c r="B8" s="82">
        <f t="shared" si="0"/>
        <v>1660</v>
      </c>
      <c r="C8" s="82">
        <f>DSUM('T&amp;L 3'!TARDB3,'T&amp;L 3'!$B$8,Criteria!D$3:D$4)-DSUM('T&amp;L 3'!TARDB3,'T&amp;L 3'!$A$8,Criteria!D$3:D$4)</f>
        <v>0</v>
      </c>
      <c r="D8" s="82">
        <f>DSUM('T&amp;L 3'!TARDB3,'T&amp;L 3'!$B$8,Criteria!E$3:E$4)-DSUM('T&amp;L 3'!TARDB3,'T&amp;L 3'!$A$8,Criteria!E$3:E$4)</f>
        <v>0</v>
      </c>
      <c r="E8" s="82">
        <f>DSUM('T&amp;L 3'!TARDB3,'T&amp;L 3'!$B$8,Criteria!F$3:F$4)-DSUM('T&amp;L 3'!TARDB3,'T&amp;L 3'!$A$8,Criteria!F$3:F$4)</f>
        <v>0</v>
      </c>
      <c r="F8" s="82">
        <f>DSUM('T&amp;L 3'!TARDB3,'T&amp;L 3'!$B$8,Criteria!G$3:G$4)-DSUM('T&amp;L 3'!TARDB3,'T&amp;L 3'!$A$8,Criteria!G$3:G$4)</f>
        <v>195</v>
      </c>
      <c r="G8" s="82">
        <f>DSUM('T&amp;L 3'!TARDB3,'T&amp;L 3'!$B$8,Criteria!H$3:H$4)-DSUM('T&amp;L 3'!TARDB3,'T&amp;L 3'!$A$8,Criteria!H$3:H$4)</f>
        <v>1465</v>
      </c>
      <c r="H8" s="82">
        <f>DSUM('T&amp;L 3'!TARDB3,'T&amp;L 3'!$B$8,Criteria!I$3:I$4)-DSUM('T&amp;L 3'!TARDB3,'T&amp;L 3'!$A$8,Criteria!I$3:I$4)</f>
        <v>0</v>
      </c>
      <c r="J8" s="424"/>
      <c r="K8" s="424"/>
      <c r="L8" s="424"/>
      <c r="M8" s="424"/>
      <c r="N8" s="424"/>
      <c r="O8" s="424"/>
    </row>
    <row r="9" spans="1:15">
      <c r="A9" s="78" t="s">
        <v>42</v>
      </c>
      <c r="B9" s="82">
        <f t="shared" si="0"/>
        <v>1225</v>
      </c>
      <c r="C9" s="82">
        <f>DSUM('T&amp;L 4'!TARDB4,'T&amp;L 4'!$B$8,Criteria!D$3:D$4)-DSUM('T&amp;L 4'!TARDB4,'T&amp;L 4'!$A$8,Criteria!D$3:D$4)</f>
        <v>0</v>
      </c>
      <c r="D9" s="82">
        <f>DSUM('T&amp;L 4'!TARDB4,'T&amp;L 4'!$B$8,Criteria!E$3:E$4)-DSUM('T&amp;L 4'!TARDB4,'T&amp;L 4'!$A$8,Criteria!E$3:E$4)</f>
        <v>0</v>
      </c>
      <c r="E9" s="82">
        <f>DSUM('T&amp;L 4'!TARDB4,'T&amp;L 4'!$B$8,Criteria!F$3:F$4)-DSUM('T&amp;L 4'!TARDB4,'T&amp;L 4'!$A$8,Criteria!F$3:F$4)</f>
        <v>0</v>
      </c>
      <c r="F9" s="82">
        <f>DSUM('T&amp;L 4'!TARDB4,'T&amp;L 4'!$B$8,Criteria!G$3:G$4)-DSUM('T&amp;L 4'!TARDB4,'T&amp;L 4'!$A$8,Criteria!G$3:G$4)</f>
        <v>180</v>
      </c>
      <c r="G9" s="82">
        <f>DSUM('T&amp;L 4'!TARDB4,'T&amp;L 4'!$B$8,Criteria!H$3:H$4)-DSUM('T&amp;L 4'!TARDB4,'T&amp;L 4'!$A$8,Criteria!H$3:H$4)</f>
        <v>1045</v>
      </c>
      <c r="H9" s="82">
        <f>DSUM('T&amp;L 4'!TARDB4,'T&amp;L 4'!$B$8,Criteria!I$3:I$4)-DSUM('T&amp;L 4'!TARDB4,'T&amp;L 4'!$A$8,Criteria!I$3:I$4)</f>
        <v>0</v>
      </c>
      <c r="J9" s="424"/>
      <c r="K9" s="424"/>
      <c r="L9" s="424"/>
      <c r="M9" s="424"/>
      <c r="N9" s="424"/>
      <c r="O9" s="424"/>
    </row>
    <row r="10" spans="1:15" ht="11.5" customHeight="1">
      <c r="A10" s="81" t="s">
        <v>43</v>
      </c>
      <c r="B10" s="82">
        <f t="shared" si="0"/>
        <v>486</v>
      </c>
      <c r="C10" s="82">
        <f>DSUM('T&amp;L 5'!TARDB5,'T&amp;L 5'!$B$8,Criteria!D$3:D$4)-DSUM('T&amp;L 5'!TARDB5,'T&amp;L 5'!$A$8,Criteria!D$3:D$4)</f>
        <v>0</v>
      </c>
      <c r="D10" s="82">
        <f>DSUM('T&amp;L 5'!TARDB5,'T&amp;L 5'!$B$8,Criteria!E$3:E$4)-DSUM('T&amp;L 5'!TARDB5,'T&amp;L 5'!$A$8,Criteria!E$3:E$4)</f>
        <v>0</v>
      </c>
      <c r="E10" s="82">
        <f>DSUM('T&amp;L 5'!TARDB5,'T&amp;L 5'!$B$8,Criteria!F$3:F$4)-DSUM('T&amp;L 5'!TARDB5,'T&amp;L 5'!$A$8,Criteria!F$3:F$4)</f>
        <v>40</v>
      </c>
      <c r="F10" s="82">
        <f>DSUM('T&amp;L 5'!TARDB5,'T&amp;L 5'!$B$8,Criteria!G$3:G$4)-DSUM('T&amp;L 5'!TARDB5,'T&amp;L 5'!$A$8,Criteria!G$3:G$4)</f>
        <v>356</v>
      </c>
      <c r="G10" s="82">
        <f>DSUM('T&amp;L 5'!TARDB5,'T&amp;L 5'!$B$8,Criteria!H$3:H$4)-DSUM('T&amp;L 5'!TARDB5,'T&amp;L 5'!$A$8,Criteria!H$3:H$4)</f>
        <v>90</v>
      </c>
      <c r="H10" s="82">
        <f>DSUM('T&amp;L 5'!TARDB5,'T&amp;L 5'!$B$8,Criteria!I$3:I$4)-DSUM('T&amp;L 5'!TARDB5,'T&amp;L 5'!$A$8,Criteria!I$3:I$4)</f>
        <v>0</v>
      </c>
      <c r="J10" s="424"/>
      <c r="K10" s="424"/>
      <c r="L10" s="424"/>
      <c r="M10" s="424"/>
      <c r="N10" s="424"/>
      <c r="O10" s="424"/>
    </row>
    <row r="11" spans="1:15" s="8" customFormat="1">
      <c r="A11" s="289" t="s">
        <v>44</v>
      </c>
      <c r="B11" s="290">
        <f t="shared" si="0"/>
        <v>0</v>
      </c>
      <c r="C11" s="290">
        <f>DSUM('T&amp;L 6'!TARDB6,'T&amp;L 6'!$B$8,Criteria!D$3:D$4)-DSUM('T&amp;L 6'!TARDB6,'T&amp;L 6'!$A$8,Criteria!D$3:D$4)</f>
        <v>0</v>
      </c>
      <c r="D11" s="290">
        <f>DSUM('T&amp;L 6'!TARDB6,'T&amp;L 6'!$B$8,Criteria!E$3:E$4)-DSUM('T&amp;L 6'!TARDB6,'T&amp;L 6'!$A$8,Criteria!E$3:E$4)</f>
        <v>0</v>
      </c>
      <c r="E11" s="290">
        <f>DSUM('T&amp;L 6'!TARDB6,'T&amp;L 6'!$B$8,Criteria!F$3:F$4)-DSUM('T&amp;L 6'!TARDB6,'T&amp;L 6'!$A$8,Criteria!F$3:F$4)</f>
        <v>0</v>
      </c>
      <c r="F11" s="290">
        <f>DSUM('T&amp;L 6'!TARDB6,'T&amp;L 6'!$B$8,Criteria!G$3:G$4)-DSUM('T&amp;L 6'!TARDB6,'T&amp;L 6'!$A$8,Criteria!G$3:G$4)</f>
        <v>0</v>
      </c>
      <c r="G11" s="290">
        <f>DSUM('T&amp;L 6'!TARDB6,'T&amp;L 6'!$B$8,Criteria!H$3:H$4)-DSUM('T&amp;L 6'!TARDB6,'T&amp;L 6'!$A$8,Criteria!H$3:H$4)</f>
        <v>0</v>
      </c>
      <c r="H11" s="290">
        <f>DSUM('T&amp;L 6'!TARDB6,'T&amp;L 6'!$B$8,Criteria!I$3:I$4)-DSUM('T&amp;L 6'!TARDB6,'T&amp;L 6'!$A$8,Criteria!I$3:I$4)</f>
        <v>0</v>
      </c>
    </row>
    <row r="12" spans="1:15" hidden="1">
      <c r="A12" s="78" t="s">
        <v>45</v>
      </c>
      <c r="B12" s="82">
        <f t="shared" si="0"/>
        <v>0</v>
      </c>
      <c r="C12" s="290">
        <f>DSUM('T&amp;L 7'!TARDB7,'T&amp;L 7'!$B$8,Criteria!D$3:D$4)-DSUM('T&amp;L 7'!TARDB7,'T&amp;L 7'!$A$8,Criteria!D$3:D$4)</f>
        <v>0</v>
      </c>
      <c r="D12" s="290">
        <f>DSUM('T&amp;L 7'!TARDB7,'T&amp;L 7'!$B$8,Criteria!E$3:E$4)-DSUM('T&amp;L 7'!TARDB7,'T&amp;L 7'!$A$8,Criteria!E$3:E$4)</f>
        <v>0</v>
      </c>
      <c r="E12" s="290">
        <f>DSUM('T&amp;L 7'!TARDB7,'T&amp;L 7'!$B$8,Criteria!F$3:F$4)-DSUM('T&amp;L 7'!TARDB7,'T&amp;L 7'!$A$8,Criteria!F$3:F$4)</f>
        <v>0</v>
      </c>
      <c r="F12" s="290">
        <f>DSUM('T&amp;L 7'!TARDB7,'T&amp;L 7'!$B$8,Criteria!G$3:G$4)-DSUM('T&amp;L 7'!TARDB7,'T&amp;L 7'!$A$8,Criteria!G$3:G$4)</f>
        <v>0</v>
      </c>
      <c r="G12" s="290">
        <f>DSUM('T&amp;L 7'!TARDB7,'T&amp;L 7'!$B$8,Criteria!H$3:H$4)-DSUM('T&amp;L 7'!TARDB7,'T&amp;L 7'!$A$8,Criteria!H$3:H$4)</f>
        <v>0</v>
      </c>
      <c r="H12" s="290">
        <f>DSUM('T&amp;L 7'!TARDB7,'T&amp;L 7'!$B$8,Criteria!I$3:I$4)-DSUM('T&amp;L 7'!TARDB7,'T&amp;L 7'!$A$8,Criteria!I$3:I$4)</f>
        <v>0</v>
      </c>
    </row>
    <row r="13" spans="1:15" hidden="1">
      <c r="A13" s="78" t="s">
        <v>114</v>
      </c>
      <c r="B13" s="82">
        <f t="shared" si="0"/>
        <v>0</v>
      </c>
      <c r="C13" s="82">
        <f>DSUM('T&amp;L 8'!TARDB8,'T&amp;L 8'!$B$8,Criteria!D$3:D$4)-DSUM('T&amp;L 8'!TARDB8,'T&amp;L 8'!$A$8,Criteria!D$3:D$4)</f>
        <v>0</v>
      </c>
      <c r="D13" s="82">
        <f>DSUM('T&amp;L 8'!TARDB8,'T&amp;L 8'!$B$8,Criteria!E$3:E$4)-DSUM('T&amp;L 8'!TARDB8,'T&amp;L 8'!$A$8,Criteria!E$3:E$4)</f>
        <v>0</v>
      </c>
      <c r="E13" s="82">
        <f>DSUM('T&amp;L 8'!TARDB8,'T&amp;L 8'!$B$8,Criteria!F$3:F$4)-DSUM('T&amp;L 8'!TARDB8,'T&amp;L 8'!$A$8,Criteria!F$3:F$4)</f>
        <v>0</v>
      </c>
      <c r="F13" s="82">
        <f>DSUM('T&amp;L 8'!TARDB8,'T&amp;L 8'!$B$8,Criteria!G$3:G$4)-DSUM('T&amp;L 8'!TARDB8,'T&amp;L 8'!$A$8,Criteria!G$3:G$4)</f>
        <v>0</v>
      </c>
      <c r="G13" s="82">
        <f>DSUM('T&amp;L 8'!TARDB8,'T&amp;L 8'!$B$8,Criteria!H$3:H$4)-DSUM('T&amp;L 8'!TARDB8,'T&amp;L 8'!$A$8,Criteria!H$3:H$4)</f>
        <v>0</v>
      </c>
      <c r="H13" s="82">
        <f>DSUM('T&amp;L 8'!TARDB8,'T&amp;L 8'!$B$8,Criteria!I$3:I$4)-DSUM('T&amp;L 8'!TARDB8,'T&amp;L 8'!$A$8,Criteria!I$3:I$4)</f>
        <v>0</v>
      </c>
    </row>
    <row r="14" spans="1:15" hidden="1">
      <c r="A14" s="78" t="s">
        <v>115</v>
      </c>
      <c r="B14" s="82">
        <f t="shared" ref="B14:B20" si="1">SUM(C14:H14)</f>
        <v>0</v>
      </c>
      <c r="C14" s="82">
        <f>DSUM('T&amp;L 9'!TARDB9,'T&amp;L 9'!$B$8,Criteria!D$3:D$4)-DSUM('T&amp;L 9'!TARDB9,'T&amp;L 9'!$A$8,Criteria!D$3:D$4)</f>
        <v>0</v>
      </c>
      <c r="D14" s="82">
        <f>DSUM('T&amp;L 9'!TARDB9,'T&amp;L 9'!$B$8,Criteria!E$3:E$4)-DSUM('T&amp;L 9'!TARDB9,'T&amp;L 9'!$A$8,Criteria!E$3:E$4)</f>
        <v>0</v>
      </c>
      <c r="E14" s="82">
        <f>DSUM('T&amp;L 9'!TARDB9,'T&amp;L 9'!$B$8,Criteria!F$3:F$4)-DSUM('T&amp;L 9'!TARDB9,'T&amp;L 9'!$A$8,Criteria!F$3:F$4)</f>
        <v>0</v>
      </c>
      <c r="F14" s="82">
        <f>DSUM('T&amp;L 9'!TARDB9,'T&amp;L 9'!$B$8,Criteria!G$3:G$4)-DSUM('T&amp;L 9'!TARDB9,'T&amp;L 9'!$A$8,Criteria!G$3:G$4)</f>
        <v>0</v>
      </c>
      <c r="G14" s="82">
        <f>DSUM('T&amp;L 9'!TARDB9,'T&amp;L 9'!$B$8,Criteria!H$3:H$4)-DSUM('T&amp;L 9'!TARDB9,'T&amp;L 9'!$A$8,Criteria!H$3:H$4)</f>
        <v>0</v>
      </c>
      <c r="H14" s="82">
        <f>DSUM('T&amp;L 9'!TARDB9,'T&amp;L 9'!$B$8,Criteria!I$3:I$4)-DSUM('T&amp;L 9'!TARDB9,'T&amp;L 9'!$A$8,Criteria!I$3:I$4)</f>
        <v>0</v>
      </c>
    </row>
    <row r="15" spans="1:15" hidden="1">
      <c r="A15" s="78" t="s">
        <v>116</v>
      </c>
      <c r="B15" s="82">
        <f t="shared" si="1"/>
        <v>0</v>
      </c>
      <c r="C15" s="82">
        <f>DSUM('T&amp;L 10'!TARDB10,'T&amp;L 10'!$B$8,Criteria!D$3:D$4)-DSUM('T&amp;L 10'!TARDB10,'T&amp;L 10'!$A$8,Criteria!D$3:D$4)</f>
        <v>0</v>
      </c>
      <c r="D15" s="82">
        <f>DSUM('T&amp;L 10'!TARDB10,'T&amp;L 10'!$B$8,Criteria!E$3:E$4)-DSUM('T&amp;L 10'!TARDB10,'T&amp;L 10'!$A$8,Criteria!E$3:E$4)</f>
        <v>0</v>
      </c>
      <c r="E15" s="82">
        <f>DSUM('T&amp;L 10'!TARDB10,'T&amp;L 10'!$B$8,Criteria!F$3:F$4)-DSUM('T&amp;L 10'!TARDB10,'T&amp;L 10'!$A$8,Criteria!F$3:F$4)</f>
        <v>0</v>
      </c>
      <c r="F15" s="82">
        <f>DSUM('T&amp;L 10'!TARDB10,'T&amp;L 10'!$B$8,Criteria!G$3:G$4)-DSUM('T&amp;L 10'!TARDB10,'T&amp;L 10'!$A$8,Criteria!G$3:G$4)</f>
        <v>0</v>
      </c>
      <c r="G15" s="82">
        <f>DSUM('T&amp;L 10'!TARDB10,'T&amp;L 10'!$B$8,Criteria!H$3:H$4)-DSUM('T&amp;L 10'!TARDB10,'T&amp;L 10'!$A$8,Criteria!H$3:H$4)</f>
        <v>0</v>
      </c>
      <c r="H15" s="82">
        <f>DSUM('T&amp;L 10'!TARDB10,'T&amp;L 10'!$B$8,Criteria!I$3:I$4)-DSUM('T&amp;L 10'!TARDB10,'T&amp;L 10'!$A$8,Criteria!I$3:I$4)</f>
        <v>0</v>
      </c>
    </row>
    <row r="16" spans="1:15" hidden="1">
      <c r="A16" s="78" t="s">
        <v>117</v>
      </c>
      <c r="B16" s="82">
        <f t="shared" si="1"/>
        <v>0</v>
      </c>
      <c r="C16" s="82"/>
      <c r="D16" s="82"/>
      <c r="E16" s="82"/>
      <c r="F16" s="82"/>
      <c r="G16" s="82"/>
      <c r="H16" s="83"/>
    </row>
    <row r="17" spans="1:8" hidden="1">
      <c r="A17" s="78" t="s">
        <v>118</v>
      </c>
      <c r="B17" s="82">
        <f t="shared" si="1"/>
        <v>0</v>
      </c>
      <c r="C17" s="82"/>
      <c r="D17" s="82"/>
      <c r="E17" s="82"/>
      <c r="F17" s="82"/>
      <c r="G17" s="82"/>
      <c r="H17" s="83"/>
    </row>
    <row r="18" spans="1:8" hidden="1">
      <c r="A18" s="78" t="s">
        <v>119</v>
      </c>
      <c r="B18" s="82">
        <f t="shared" si="1"/>
        <v>0</v>
      </c>
      <c r="C18" s="82"/>
      <c r="D18" s="82"/>
      <c r="E18" s="82"/>
      <c r="F18" s="82"/>
      <c r="G18" s="82"/>
      <c r="H18" s="83"/>
    </row>
    <row r="19" spans="1:8" hidden="1">
      <c r="A19" s="78" t="s">
        <v>120</v>
      </c>
      <c r="B19" s="82">
        <f t="shared" si="1"/>
        <v>0</v>
      </c>
      <c r="C19" s="82"/>
      <c r="D19" s="82"/>
      <c r="E19" s="82"/>
      <c r="F19" s="82"/>
      <c r="G19" s="82"/>
      <c r="H19" s="83"/>
    </row>
    <row r="20" spans="1:8" hidden="1">
      <c r="A20" s="78" t="s">
        <v>121</v>
      </c>
      <c r="B20" s="131">
        <f t="shared" si="1"/>
        <v>0</v>
      </c>
      <c r="C20" s="82"/>
      <c r="D20" s="82"/>
      <c r="E20" s="82"/>
      <c r="F20" s="82"/>
      <c r="G20" s="82"/>
      <c r="H20" s="138"/>
    </row>
    <row r="21" spans="1:8" ht="13">
      <c r="A21" s="54" t="s">
        <v>78</v>
      </c>
      <c r="B21" s="51"/>
      <c r="C21" s="51"/>
      <c r="D21" s="51"/>
      <c r="E21" s="51"/>
      <c r="F21" s="51"/>
      <c r="G21" s="51"/>
      <c r="H21" s="136"/>
    </row>
    <row r="22" spans="1:8" ht="13">
      <c r="A22" s="84" t="s">
        <v>98</v>
      </c>
      <c r="B22" s="111">
        <f>SUM(B6:B20)</f>
        <v>6551</v>
      </c>
      <c r="C22" s="111">
        <f t="shared" ref="C22:G22" si="2">SUM(C6:C20)</f>
        <v>0</v>
      </c>
      <c r="D22" s="111">
        <f t="shared" si="2"/>
        <v>0</v>
      </c>
      <c r="E22" s="111">
        <f t="shared" si="2"/>
        <v>40</v>
      </c>
      <c r="F22" s="111">
        <f t="shared" si="2"/>
        <v>1268</v>
      </c>
      <c r="G22" s="111">
        <f t="shared" si="2"/>
        <v>5243</v>
      </c>
      <c r="H22" s="137">
        <f t="shared" ref="H22" si="3">SUM(H6:H20)</f>
        <v>0</v>
      </c>
    </row>
    <row r="23" spans="1:8" ht="13">
      <c r="A23" s="85" t="s">
        <v>79</v>
      </c>
      <c r="B23" s="113" t="s">
        <v>15</v>
      </c>
      <c r="C23" s="114">
        <f t="shared" ref="C23" si="4">IF(C22=0,0,C22/$B22)</f>
        <v>0</v>
      </c>
      <c r="D23" s="114">
        <f t="shared" ref="D23:G23" si="5">IF(D22=0,0,D22/$B22)</f>
        <v>0</v>
      </c>
      <c r="E23" s="114">
        <f t="shared" si="5"/>
        <v>6.1059380247290487E-3</v>
      </c>
      <c r="F23" s="114">
        <f t="shared" si="5"/>
        <v>0.19355823538391084</v>
      </c>
      <c r="G23" s="114">
        <f t="shared" si="5"/>
        <v>0.80033582659136004</v>
      </c>
      <c r="H23" s="115">
        <f t="shared" ref="H23" si="6">IF(H22=0,0,H22/$B22)</f>
        <v>0</v>
      </c>
    </row>
  </sheetData>
  <sheetProtection formatCells="0"/>
  <mergeCells count="2">
    <mergeCell ref="A3:H3"/>
    <mergeCell ref="J6:O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RQLCleanup">
                <anchor moveWithCells="1" sizeWithCells="1">
                  <from>
                    <xdr:col>8</xdr:col>
                    <xdr:colOff>38100</xdr:colOff>
                    <xdr:row>4</xdr:row>
                    <xdr:rowOff>0</xdr:rowOff>
                  </from>
                  <to>
                    <xdr:col>10</xdr:col>
                    <xdr:colOff>12700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:Q38"/>
  <sheetViews>
    <sheetView showZeros="0" zoomScaleNormal="100" workbookViewId="0">
      <selection sqref="A1:H11"/>
    </sheetView>
  </sheetViews>
  <sheetFormatPr defaultRowHeight="12.5"/>
  <cols>
    <col min="1" max="1" width="12.81640625" customWidth="1"/>
    <col min="2" max="8" width="15.7265625" customWidth="1"/>
  </cols>
  <sheetData>
    <row r="1" spans="1:9" s="1" customFormat="1" ht="23">
      <c r="A1" s="21" t="s">
        <v>71</v>
      </c>
      <c r="B1" s="21"/>
      <c r="C1" s="21"/>
    </row>
    <row r="3" spans="1:9" ht="14">
      <c r="A3" s="413" t="s">
        <v>101</v>
      </c>
      <c r="B3" s="413"/>
      <c r="C3" s="413"/>
      <c r="D3" s="413"/>
      <c r="E3" s="413"/>
      <c r="F3" s="413"/>
      <c r="G3" s="413"/>
      <c r="H3" s="413"/>
    </row>
    <row r="5" spans="1:9" ht="16.5" customHeight="1">
      <c r="A5" s="52"/>
      <c r="B5" s="43" t="s">
        <v>72</v>
      </c>
      <c r="C5" s="43" t="s">
        <v>73</v>
      </c>
      <c r="D5" s="43" t="s">
        <v>74</v>
      </c>
      <c r="E5" s="43" t="s">
        <v>75</v>
      </c>
      <c r="F5" s="43" t="s">
        <v>76</v>
      </c>
      <c r="G5" s="43" t="s">
        <v>99</v>
      </c>
      <c r="H5" s="44" t="s">
        <v>77</v>
      </c>
      <c r="I5" s="23"/>
    </row>
    <row r="6" spans="1:9">
      <c r="A6" s="53" t="s">
        <v>39</v>
      </c>
      <c r="B6" s="82">
        <f t="shared" ref="B6:B12" si="0">SUM(C6:H6)</f>
        <v>1914</v>
      </c>
      <c r="C6" s="45">
        <v>32</v>
      </c>
      <c r="D6" s="45">
        <v>21.5</v>
      </c>
      <c r="E6" s="45">
        <v>495</v>
      </c>
      <c r="F6" s="45">
        <v>915.5</v>
      </c>
      <c r="G6" s="45">
        <v>443</v>
      </c>
      <c r="H6" s="46">
        <v>7</v>
      </c>
      <c r="I6" s="23"/>
    </row>
    <row r="7" spans="1:9">
      <c r="A7" s="78" t="s">
        <v>40</v>
      </c>
      <c r="B7" s="82">
        <f t="shared" si="0"/>
        <v>1266</v>
      </c>
      <c r="C7" s="79">
        <v>29</v>
      </c>
      <c r="D7" s="79">
        <v>9</v>
      </c>
      <c r="E7" s="79">
        <v>415</v>
      </c>
      <c r="F7" s="79">
        <v>610.5</v>
      </c>
      <c r="G7" s="79">
        <v>202.5</v>
      </c>
      <c r="H7" s="80"/>
      <c r="I7" s="23"/>
    </row>
    <row r="8" spans="1:9">
      <c r="A8" s="81" t="s">
        <v>41</v>
      </c>
      <c r="B8" s="82">
        <f t="shared" si="0"/>
        <v>1660</v>
      </c>
      <c r="C8" s="82">
        <v>37.5</v>
      </c>
      <c r="D8" s="82">
        <v>11</v>
      </c>
      <c r="E8" s="82">
        <v>420</v>
      </c>
      <c r="F8" s="82">
        <v>739</v>
      </c>
      <c r="G8" s="82">
        <v>452.5</v>
      </c>
      <c r="H8" s="83"/>
      <c r="I8" s="47"/>
    </row>
    <row r="9" spans="1:9">
      <c r="A9" s="78" t="s">
        <v>42</v>
      </c>
      <c r="B9" s="82">
        <f t="shared" si="0"/>
        <v>0</v>
      </c>
      <c r="C9" s="79"/>
      <c r="D9" s="79"/>
      <c r="E9" s="79"/>
      <c r="F9" s="79"/>
      <c r="G9" s="79"/>
      <c r="H9" s="80"/>
      <c r="I9" s="23"/>
    </row>
    <row r="10" spans="1:9" ht="13" customHeight="1">
      <c r="A10" s="81" t="s">
        <v>43</v>
      </c>
      <c r="B10" s="82">
        <f t="shared" si="0"/>
        <v>0</v>
      </c>
      <c r="C10" s="82"/>
      <c r="D10" s="82"/>
      <c r="E10" s="82"/>
      <c r="F10" s="82"/>
      <c r="G10" s="82"/>
      <c r="H10" s="80"/>
      <c r="I10" s="23"/>
    </row>
    <row r="11" spans="1:9" s="8" customFormat="1">
      <c r="A11" s="289" t="s">
        <v>44</v>
      </c>
      <c r="B11" s="82">
        <f t="shared" si="0"/>
        <v>0</v>
      </c>
      <c r="C11" s="291"/>
      <c r="D11" s="291"/>
      <c r="E11" s="291"/>
      <c r="F11" s="291"/>
      <c r="G11" s="291"/>
      <c r="H11" s="292"/>
      <c r="I11" s="121"/>
    </row>
    <row r="12" spans="1:9" hidden="1">
      <c r="A12" s="78" t="s">
        <v>45</v>
      </c>
      <c r="B12" s="82">
        <f t="shared" si="0"/>
        <v>0</v>
      </c>
      <c r="C12" s="79"/>
      <c r="D12" s="79"/>
      <c r="E12" s="79"/>
      <c r="F12" s="79"/>
      <c r="G12" s="79"/>
      <c r="H12" s="80"/>
      <c r="I12" s="23"/>
    </row>
    <row r="13" spans="1:9" hidden="1">
      <c r="A13" s="78" t="s">
        <v>114</v>
      </c>
      <c r="B13" s="82">
        <f t="shared" ref="B13:B20" si="1">SUM(C13:H13)</f>
        <v>0</v>
      </c>
      <c r="C13" s="79"/>
      <c r="D13" s="79"/>
      <c r="E13" s="79"/>
      <c r="F13" s="79"/>
      <c r="G13" s="79"/>
      <c r="H13" s="80"/>
      <c r="I13" s="23"/>
    </row>
    <row r="14" spans="1:9" hidden="1">
      <c r="A14" s="78" t="s">
        <v>115</v>
      </c>
      <c r="B14" s="82">
        <f t="shared" si="1"/>
        <v>0</v>
      </c>
      <c r="C14" s="79"/>
      <c r="D14" s="79"/>
      <c r="E14" s="79"/>
      <c r="F14" s="79"/>
      <c r="G14" s="79"/>
      <c r="H14" s="80"/>
      <c r="I14" s="23"/>
    </row>
    <row r="15" spans="1:9" hidden="1">
      <c r="A15" s="78" t="s">
        <v>116</v>
      </c>
      <c r="B15" s="82">
        <f t="shared" si="1"/>
        <v>0</v>
      </c>
      <c r="C15" s="79"/>
      <c r="D15" s="79"/>
      <c r="E15" s="79"/>
      <c r="F15" s="79"/>
      <c r="G15" s="79"/>
      <c r="H15" s="80"/>
      <c r="I15" s="23"/>
    </row>
    <row r="16" spans="1:9" hidden="1">
      <c r="A16" s="78" t="s">
        <v>117</v>
      </c>
      <c r="B16" s="82">
        <f t="shared" si="1"/>
        <v>0</v>
      </c>
      <c r="C16" s="79"/>
      <c r="D16" s="79"/>
      <c r="E16" s="79"/>
      <c r="F16" s="79"/>
      <c r="G16" s="79"/>
      <c r="H16" s="80"/>
      <c r="I16" s="23"/>
    </row>
    <row r="17" spans="1:17" hidden="1">
      <c r="A17" s="78" t="s">
        <v>118</v>
      </c>
      <c r="B17" s="82">
        <f t="shared" si="1"/>
        <v>0</v>
      </c>
      <c r="C17" s="79"/>
      <c r="D17" s="79"/>
      <c r="E17" s="79"/>
      <c r="F17" s="79"/>
      <c r="G17" s="79"/>
      <c r="H17" s="80"/>
      <c r="I17" s="23"/>
    </row>
    <row r="18" spans="1:17" hidden="1">
      <c r="A18" s="78" t="s">
        <v>119</v>
      </c>
      <c r="B18" s="82">
        <f t="shared" si="1"/>
        <v>0</v>
      </c>
      <c r="C18" s="79"/>
      <c r="D18" s="79"/>
      <c r="E18" s="79"/>
      <c r="F18" s="79"/>
      <c r="G18" s="79"/>
      <c r="H18" s="80"/>
      <c r="I18" s="23"/>
    </row>
    <row r="19" spans="1:17" hidden="1">
      <c r="A19" s="78" t="s">
        <v>120</v>
      </c>
      <c r="B19" s="82">
        <f t="shared" si="1"/>
        <v>0</v>
      </c>
      <c r="C19" s="79"/>
      <c r="D19" s="79"/>
      <c r="E19" s="79"/>
      <c r="F19" s="79"/>
      <c r="G19" s="79"/>
      <c r="H19" s="80"/>
      <c r="I19" s="23"/>
    </row>
    <row r="20" spans="1:17" hidden="1">
      <c r="A20" s="78" t="s">
        <v>121</v>
      </c>
      <c r="B20" s="82">
        <f t="shared" si="1"/>
        <v>0</v>
      </c>
      <c r="C20" s="79"/>
      <c r="D20" s="79"/>
      <c r="E20" s="79"/>
      <c r="F20" s="79"/>
      <c r="G20" s="79"/>
      <c r="H20" s="80"/>
      <c r="I20" s="23"/>
    </row>
    <row r="21" spans="1:17" ht="16.5" customHeight="1">
      <c r="A21" s="54" t="s">
        <v>78</v>
      </c>
      <c r="B21" s="51"/>
      <c r="C21" s="51"/>
      <c r="D21" s="51"/>
      <c r="E21" s="51"/>
      <c r="F21" s="51"/>
      <c r="G21" s="51"/>
      <c r="H21" s="51"/>
      <c r="I21" s="23"/>
    </row>
    <row r="22" spans="1:17" ht="13">
      <c r="A22" s="84" t="s">
        <v>98</v>
      </c>
      <c r="B22" s="111">
        <f t="shared" ref="B22:H22" si="2">SUM(B6:B20)</f>
        <v>4840</v>
      </c>
      <c r="C22" s="111">
        <f t="shared" si="2"/>
        <v>98.5</v>
      </c>
      <c r="D22" s="111">
        <f t="shared" si="2"/>
        <v>41.5</v>
      </c>
      <c r="E22" s="111">
        <f t="shared" si="2"/>
        <v>1330</v>
      </c>
      <c r="F22" s="111">
        <f t="shared" si="2"/>
        <v>2265</v>
      </c>
      <c r="G22" s="111">
        <f t="shared" si="2"/>
        <v>1098</v>
      </c>
      <c r="H22" s="112">
        <f t="shared" si="2"/>
        <v>7</v>
      </c>
      <c r="I22" s="23"/>
    </row>
    <row r="23" spans="1:17" ht="14.5">
      <c r="A23" s="85" t="s">
        <v>79</v>
      </c>
      <c r="B23" s="113" t="s">
        <v>15</v>
      </c>
      <c r="C23" s="114">
        <f t="shared" ref="C23:H23" si="3">IF(C22=0,0,C22/$B22)</f>
        <v>2.0351239669421487E-2</v>
      </c>
      <c r="D23" s="114">
        <f t="shared" si="3"/>
        <v>8.5743801652892557E-3</v>
      </c>
      <c r="E23" s="114">
        <f t="shared" si="3"/>
        <v>0.27479338842975204</v>
      </c>
      <c r="F23" s="114">
        <f t="shared" si="3"/>
        <v>0.46797520661157027</v>
      </c>
      <c r="G23" s="114">
        <f t="shared" si="3"/>
        <v>0.22685950413223141</v>
      </c>
      <c r="H23" s="115">
        <f t="shared" si="3"/>
        <v>1.4462809917355371E-3</v>
      </c>
      <c r="I23" s="86"/>
      <c r="K23">
        <f>SUM(K20:M20)</f>
        <v>0</v>
      </c>
      <c r="L23">
        <f>N20</f>
        <v>0</v>
      </c>
      <c r="M23">
        <f>O20</f>
        <v>0</v>
      </c>
      <c r="N23">
        <f>P20</f>
        <v>0</v>
      </c>
      <c r="O23">
        <f>Q20</f>
        <v>0</v>
      </c>
      <c r="P23">
        <f>SUM(R20:S20)</f>
        <v>0</v>
      </c>
      <c r="Q23" s="333">
        <f>SUM(K20:S20)</f>
        <v>0</v>
      </c>
    </row>
    <row r="26" spans="1:17" ht="14.5">
      <c r="I26">
        <f>SUM(I23:K23)</f>
        <v>0</v>
      </c>
      <c r="J26">
        <f>L23</f>
        <v>0</v>
      </c>
      <c r="K26">
        <f>M23</f>
        <v>0</v>
      </c>
      <c r="L26">
        <f>N23</f>
        <v>0</v>
      </c>
      <c r="M26">
        <f>O23</f>
        <v>0</v>
      </c>
      <c r="N26">
        <f>SUM(P23:Q23)</f>
        <v>0</v>
      </c>
      <c r="O26" s="333">
        <f>SUM(I23:Q23)</f>
        <v>0</v>
      </c>
    </row>
    <row r="27" spans="1:17" ht="14.5">
      <c r="A27" s="220"/>
      <c r="B27" s="334"/>
      <c r="C27" s="334"/>
      <c r="D27" s="334"/>
      <c r="E27" s="334"/>
      <c r="F27" s="334"/>
      <c r="G27" s="335"/>
    </row>
    <row r="28" spans="1:17" ht="14.5">
      <c r="A28" s="220"/>
      <c r="B28" s="334"/>
      <c r="C28" s="334"/>
      <c r="D28" s="334"/>
      <c r="E28" s="334"/>
      <c r="F28" s="334"/>
      <c r="G28" s="334"/>
      <c r="K28">
        <f>M25</f>
        <v>0</v>
      </c>
      <c r="L28">
        <f>N25</f>
        <v>0</v>
      </c>
      <c r="M28">
        <f>O25</f>
        <v>0</v>
      </c>
      <c r="N28">
        <f>P25</f>
        <v>0</v>
      </c>
      <c r="O28">
        <f>SUM(Q25:R25)</f>
        <v>0</v>
      </c>
      <c r="P28" s="333">
        <f>SUM(J25:R25)</f>
        <v>0</v>
      </c>
    </row>
    <row r="29" spans="1:17" ht="14.5">
      <c r="A29" s="220"/>
      <c r="B29" s="334"/>
      <c r="C29" s="334"/>
      <c r="D29" s="334"/>
      <c r="E29" s="334"/>
      <c r="F29" s="334"/>
      <c r="G29" s="334"/>
      <c r="K29">
        <f>M26</f>
        <v>0</v>
      </c>
      <c r="L29">
        <f>N26</f>
        <v>0</v>
      </c>
      <c r="M29">
        <f>O26</f>
        <v>0</v>
      </c>
      <c r="N29">
        <f>SUM(P26:Q26)</f>
        <v>0</v>
      </c>
      <c r="O29" s="333">
        <f>SUM(I26:Q26)</f>
        <v>0</v>
      </c>
    </row>
    <row r="30" spans="1:17">
      <c r="A30" s="220"/>
      <c r="B30" s="334"/>
      <c r="C30" s="334"/>
      <c r="D30" s="334"/>
      <c r="E30" s="334"/>
      <c r="F30" s="334"/>
      <c r="G30" s="334"/>
    </row>
    <row r="31" spans="1:17">
      <c r="A31" s="220"/>
      <c r="B31" s="334"/>
      <c r="C31" s="220"/>
      <c r="D31" s="220"/>
      <c r="E31" s="220"/>
      <c r="F31" s="220"/>
      <c r="G31" s="220"/>
      <c r="H31" s="220"/>
      <c r="I31" s="220"/>
    </row>
    <row r="32" spans="1:17">
      <c r="A32" s="220"/>
      <c r="B32" s="334"/>
      <c r="C32" s="334"/>
      <c r="D32" s="334"/>
      <c r="E32" s="334"/>
      <c r="F32" s="334"/>
      <c r="G32" s="334"/>
    </row>
    <row r="33" spans="1:4">
      <c r="A33" s="220"/>
    </row>
    <row r="38" spans="1:4">
      <c r="D38" s="334"/>
    </row>
  </sheetData>
  <sheetProtection formatCells="0"/>
  <mergeCells count="1">
    <mergeCell ref="A3:H3"/>
  </mergeCells>
  <pageMargins left="0.7" right="0.7" top="0.75" bottom="0.75" header="0.3" footer="0.3"/>
  <pageSetup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pageSetUpPr fitToPage="1"/>
  </sheetPr>
  <dimension ref="A1:Y49"/>
  <sheetViews>
    <sheetView topLeftCell="A5" zoomScaleNormal="100" workbookViewId="0">
      <selection activeCell="U9" sqref="U9:U29"/>
    </sheetView>
  </sheetViews>
  <sheetFormatPr defaultRowHeight="12.5"/>
  <cols>
    <col min="1" max="1" width="7.453125" customWidth="1"/>
    <col min="2" max="2" width="8.54296875" customWidth="1"/>
    <col min="3" max="12" width="7.453125" customWidth="1"/>
    <col min="13" max="13" width="9.1796875" style="23"/>
    <col min="17" max="22" width="15.7265625" customWidth="1"/>
  </cols>
  <sheetData>
    <row r="1" spans="1:25" s="15" customFormat="1" ht="23">
      <c r="A1" s="350" t="s">
        <v>105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160"/>
      <c r="N1" s="161"/>
      <c r="O1" s="161"/>
      <c r="P1" s="161"/>
      <c r="Q1"/>
      <c r="R1" s="127" t="s">
        <v>128</v>
      </c>
      <c r="S1" s="127"/>
      <c r="T1" s="127"/>
      <c r="U1"/>
      <c r="W1"/>
      <c r="X1"/>
      <c r="Y1"/>
    </row>
    <row r="2" spans="1:25" ht="14.5">
      <c r="A2" s="412"/>
      <c r="B2" s="412"/>
      <c r="C2" s="412"/>
      <c r="D2" s="412"/>
      <c r="E2" s="412"/>
      <c r="F2" s="412"/>
      <c r="G2" s="412"/>
      <c r="H2" s="412"/>
      <c r="I2" s="412"/>
      <c r="J2" s="412"/>
      <c r="K2" s="412"/>
      <c r="L2" s="412"/>
      <c r="M2" s="162"/>
      <c r="N2" s="127"/>
      <c r="O2" s="127"/>
      <c r="P2" s="127"/>
      <c r="Q2" s="149" t="s">
        <v>126</v>
      </c>
      <c r="R2" s="126" t="s">
        <v>124</v>
      </c>
    </row>
    <row r="3" spans="1:25" ht="14.5">
      <c r="A3" s="413" t="s">
        <v>101</v>
      </c>
      <c r="B3" s="413"/>
      <c r="C3" s="413"/>
      <c r="D3" s="413"/>
      <c r="E3" s="413"/>
      <c r="F3" s="413"/>
      <c r="G3" s="413"/>
      <c r="H3" s="413"/>
      <c r="I3" s="413"/>
      <c r="J3" s="413"/>
      <c r="K3" s="413"/>
      <c r="L3" s="413"/>
      <c r="M3" s="162"/>
      <c r="N3" s="127"/>
      <c r="O3" s="127"/>
      <c r="P3" s="127"/>
      <c r="Q3" s="149" t="s">
        <v>127</v>
      </c>
      <c r="R3" s="126" t="s">
        <v>125</v>
      </c>
    </row>
    <row r="4" spans="1:25">
      <c r="A4" s="412"/>
      <c r="B4" s="412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162"/>
      <c r="N4" s="127"/>
      <c r="O4" s="127"/>
      <c r="P4" s="127"/>
    </row>
    <row r="5" spans="1:25" ht="23">
      <c r="A5" s="400" t="s">
        <v>166</v>
      </c>
      <c r="B5" s="400"/>
      <c r="C5" s="400"/>
      <c r="D5" s="400"/>
      <c r="E5" s="400"/>
      <c r="F5" s="400"/>
      <c r="G5" s="400"/>
      <c r="H5" s="400"/>
      <c r="I5" s="400"/>
      <c r="J5" s="400"/>
      <c r="K5" s="400"/>
      <c r="L5" s="400"/>
    </row>
    <row r="6" spans="1:25" ht="17.25" customHeight="1">
      <c r="A6" s="386" t="s">
        <v>85</v>
      </c>
      <c r="B6" s="386"/>
      <c r="C6" s="386"/>
      <c r="D6" s="386"/>
      <c r="E6" s="386"/>
      <c r="F6" s="386"/>
      <c r="G6" s="386"/>
      <c r="H6" s="386"/>
      <c r="I6" s="386"/>
      <c r="J6" s="386"/>
      <c r="K6" s="386"/>
      <c r="L6" s="386"/>
      <c r="Q6" s="396" t="s">
        <v>151</v>
      </c>
      <c r="R6" s="396"/>
      <c r="S6" s="396"/>
      <c r="T6" s="396"/>
      <c r="U6" s="396"/>
      <c r="V6" s="396"/>
    </row>
    <row r="7" spans="1:25" ht="13.15" customHeight="1">
      <c r="A7" s="401" t="s">
        <v>86</v>
      </c>
      <c r="B7" s="402"/>
      <c r="C7" s="403" t="s">
        <v>87</v>
      </c>
      <c r="D7" s="402"/>
      <c r="E7" s="404"/>
      <c r="F7" s="405"/>
      <c r="G7" s="405"/>
      <c r="H7" s="405"/>
      <c r="I7" s="405"/>
      <c r="J7" s="406"/>
      <c r="K7" s="407" t="s">
        <v>107</v>
      </c>
      <c r="L7" s="408"/>
      <c r="Q7" s="397" t="s">
        <v>152</v>
      </c>
      <c r="R7" s="397"/>
      <c r="S7" s="398"/>
      <c r="T7" s="399" t="s">
        <v>153</v>
      </c>
      <c r="U7" s="397"/>
      <c r="V7" s="398"/>
    </row>
    <row r="8" spans="1:25" ht="13">
      <c r="A8" s="296" t="s">
        <v>46</v>
      </c>
      <c r="B8" s="108" t="s">
        <v>47</v>
      </c>
      <c r="C8" s="108" t="s">
        <v>88</v>
      </c>
      <c r="D8" s="109" t="s">
        <v>89</v>
      </c>
      <c r="E8" s="409" t="s">
        <v>90</v>
      </c>
      <c r="F8" s="410"/>
      <c r="G8" s="410"/>
      <c r="H8" s="410"/>
      <c r="I8" s="410"/>
      <c r="J8" s="411"/>
      <c r="K8" s="410" t="s">
        <v>91</v>
      </c>
      <c r="L8" s="410"/>
      <c r="Q8" s="144" t="s">
        <v>154</v>
      </c>
      <c r="R8" s="145" t="s">
        <v>155</v>
      </c>
      <c r="S8" s="150" t="s">
        <v>156</v>
      </c>
      <c r="T8" s="151" t="s">
        <v>154</v>
      </c>
      <c r="U8" s="146" t="s">
        <v>155</v>
      </c>
      <c r="V8" s="150" t="s">
        <v>156</v>
      </c>
    </row>
    <row r="9" spans="1:25">
      <c r="A9" s="129"/>
      <c r="B9" s="77"/>
      <c r="C9" s="134"/>
      <c r="D9" s="135"/>
      <c r="E9" s="421"/>
      <c r="F9" s="422"/>
      <c r="G9" s="422"/>
      <c r="H9" s="422"/>
      <c r="I9" s="422"/>
      <c r="J9" s="423"/>
      <c r="K9" s="391"/>
      <c r="L9" s="392"/>
      <c r="N9" s="133"/>
      <c r="Q9" s="77"/>
      <c r="R9" s="77"/>
      <c r="S9" s="281"/>
      <c r="T9" s="152"/>
      <c r="U9" s="77"/>
      <c r="V9" s="153"/>
      <c r="W9" s="147"/>
    </row>
    <row r="10" spans="1:25">
      <c r="A10" s="129"/>
      <c r="B10" s="77"/>
      <c r="C10" s="134"/>
      <c r="D10" s="135"/>
      <c r="E10" s="425"/>
      <c r="F10" s="426"/>
      <c r="G10" s="426"/>
      <c r="H10" s="426"/>
      <c r="I10" s="426"/>
      <c r="J10" s="427"/>
      <c r="K10" s="391"/>
      <c r="L10" s="392"/>
      <c r="N10" s="133"/>
      <c r="Q10" s="77"/>
      <c r="R10" s="77"/>
      <c r="S10" s="281"/>
      <c r="T10" s="152"/>
      <c r="U10" s="77"/>
      <c r="V10" s="153"/>
      <c r="W10" s="147"/>
    </row>
    <row r="11" spans="1:25" ht="12.75" customHeight="1">
      <c r="A11" s="129"/>
      <c r="B11" s="77"/>
      <c r="C11" s="134"/>
      <c r="D11" s="135"/>
      <c r="E11" s="428"/>
      <c r="F11" s="429"/>
      <c r="G11" s="429"/>
      <c r="H11" s="429"/>
      <c r="I11" s="429"/>
      <c r="J11" s="430"/>
      <c r="K11" s="414"/>
      <c r="L11" s="415"/>
      <c r="N11" s="133"/>
      <c r="Q11" s="77"/>
      <c r="R11" s="77"/>
      <c r="S11" s="281"/>
      <c r="T11" s="152"/>
      <c r="U11" s="77"/>
      <c r="V11" s="153"/>
      <c r="W11" s="147"/>
    </row>
    <row r="12" spans="1:25" ht="12.75" customHeight="1">
      <c r="A12" s="129"/>
      <c r="B12" s="77"/>
      <c r="C12" s="134"/>
      <c r="D12" s="135"/>
      <c r="E12" s="421"/>
      <c r="F12" s="422"/>
      <c r="G12" s="422"/>
      <c r="H12" s="422"/>
      <c r="I12" s="422"/>
      <c r="J12" s="423"/>
      <c r="K12" s="391"/>
      <c r="L12" s="392"/>
      <c r="N12" s="133"/>
      <c r="Q12" s="77"/>
      <c r="R12" s="77"/>
      <c r="S12" s="281"/>
      <c r="T12" s="152"/>
      <c r="U12" s="77"/>
      <c r="V12" s="153"/>
      <c r="W12" s="147"/>
    </row>
    <row r="13" spans="1:25" ht="12.75" customHeight="1">
      <c r="A13" s="129"/>
      <c r="B13" s="77"/>
      <c r="C13" s="134"/>
      <c r="D13" s="135"/>
      <c r="E13" s="428"/>
      <c r="F13" s="429"/>
      <c r="G13" s="429"/>
      <c r="H13" s="429"/>
      <c r="I13" s="429"/>
      <c r="J13" s="430"/>
      <c r="K13" s="414"/>
      <c r="L13" s="415"/>
      <c r="N13" s="133"/>
      <c r="Q13" s="77"/>
      <c r="R13" s="77"/>
      <c r="S13" s="281"/>
      <c r="T13" s="152"/>
      <c r="U13" s="77"/>
      <c r="V13" s="153"/>
      <c r="W13" s="147"/>
    </row>
    <row r="14" spans="1:25" ht="12.75" customHeight="1">
      <c r="A14" s="129"/>
      <c r="B14" s="77"/>
      <c r="C14" s="134"/>
      <c r="D14" s="135"/>
      <c r="E14" s="421"/>
      <c r="F14" s="422"/>
      <c r="G14" s="422"/>
      <c r="H14" s="422"/>
      <c r="I14" s="422"/>
      <c r="J14" s="423"/>
      <c r="K14" s="391"/>
      <c r="L14" s="392"/>
      <c r="N14" s="133"/>
      <c r="Q14" s="77"/>
      <c r="R14" s="77"/>
      <c r="S14" s="281"/>
      <c r="T14" s="152"/>
      <c r="U14" s="77"/>
      <c r="V14" s="153"/>
      <c r="W14" s="148"/>
    </row>
    <row r="15" spans="1:25" ht="13" customHeight="1">
      <c r="A15" s="129"/>
      <c r="B15" s="77"/>
      <c r="C15" s="134"/>
      <c r="D15" s="135"/>
      <c r="E15" s="428"/>
      <c r="F15" s="429"/>
      <c r="G15" s="429"/>
      <c r="H15" s="429"/>
      <c r="I15" s="429"/>
      <c r="J15" s="430"/>
      <c r="K15" s="391"/>
      <c r="L15" s="392"/>
      <c r="N15" s="133"/>
      <c r="Q15" s="77"/>
      <c r="R15" s="77"/>
      <c r="S15" s="281"/>
      <c r="T15" s="152"/>
      <c r="U15" s="77"/>
      <c r="V15" s="153"/>
      <c r="W15" s="147"/>
    </row>
    <row r="16" spans="1:25">
      <c r="A16" s="129"/>
      <c r="B16" s="284"/>
      <c r="C16" s="134"/>
      <c r="D16" s="135"/>
      <c r="E16" s="421"/>
      <c r="F16" s="422"/>
      <c r="G16" s="422"/>
      <c r="H16" s="422"/>
      <c r="I16" s="422"/>
      <c r="J16" s="423"/>
      <c r="K16" s="391"/>
      <c r="L16" s="392"/>
      <c r="N16" s="133"/>
      <c r="Q16" s="77"/>
      <c r="R16" s="77"/>
      <c r="S16" s="281"/>
      <c r="T16" s="152"/>
      <c r="U16" s="77"/>
      <c r="V16" s="153"/>
      <c r="W16" s="147"/>
    </row>
    <row r="17" spans="1:23">
      <c r="A17" s="129"/>
      <c r="B17" s="77"/>
      <c r="C17" s="134"/>
      <c r="D17" s="135"/>
      <c r="E17" s="421"/>
      <c r="F17" s="422"/>
      <c r="G17" s="422"/>
      <c r="H17" s="422"/>
      <c r="I17" s="422"/>
      <c r="J17" s="423"/>
      <c r="K17" s="391"/>
      <c r="L17" s="392"/>
      <c r="N17" s="133"/>
      <c r="Q17" s="77"/>
      <c r="R17" s="77"/>
      <c r="S17" s="281"/>
      <c r="T17" s="152"/>
      <c r="U17" s="77"/>
      <c r="V17" s="153"/>
      <c r="W17" s="147"/>
    </row>
    <row r="18" spans="1:23">
      <c r="A18" s="129"/>
      <c r="B18" s="77"/>
      <c r="C18" s="134"/>
      <c r="D18" s="135"/>
      <c r="E18" s="421"/>
      <c r="F18" s="422"/>
      <c r="G18" s="422"/>
      <c r="H18" s="422"/>
      <c r="I18" s="422"/>
      <c r="J18" s="423"/>
      <c r="K18" s="391"/>
      <c r="L18" s="392"/>
      <c r="N18" s="133"/>
      <c r="Q18" s="77"/>
      <c r="R18" s="77"/>
      <c r="S18" s="281"/>
      <c r="T18" s="152"/>
      <c r="U18" s="77"/>
      <c r="V18" s="153"/>
      <c r="W18" s="147"/>
    </row>
    <row r="19" spans="1:23">
      <c r="A19" s="129"/>
      <c r="B19" s="77"/>
      <c r="C19" s="134"/>
      <c r="D19" s="135"/>
      <c r="E19" s="421"/>
      <c r="F19" s="422"/>
      <c r="G19" s="422"/>
      <c r="H19" s="422"/>
      <c r="I19" s="422"/>
      <c r="J19" s="423"/>
      <c r="K19" s="391"/>
      <c r="L19" s="392"/>
      <c r="N19" s="133"/>
      <c r="Q19" s="77"/>
      <c r="R19" s="77"/>
      <c r="S19" s="281"/>
      <c r="T19" s="152"/>
      <c r="U19" s="77"/>
      <c r="V19" s="153"/>
      <c r="W19" s="147"/>
    </row>
    <row r="20" spans="1:23" ht="23.25" customHeight="1">
      <c r="A20" s="129"/>
      <c r="B20" s="77"/>
      <c r="C20" s="134"/>
      <c r="D20" s="135"/>
      <c r="E20" s="421"/>
      <c r="F20" s="422"/>
      <c r="G20" s="422"/>
      <c r="H20" s="422"/>
      <c r="I20" s="422"/>
      <c r="J20" s="423"/>
      <c r="K20" s="391"/>
      <c r="L20" s="392"/>
      <c r="N20" s="133"/>
      <c r="Q20" s="77"/>
      <c r="R20" s="77"/>
      <c r="S20" s="281"/>
      <c r="T20" s="152"/>
      <c r="U20" s="77"/>
      <c r="V20" s="153"/>
      <c r="W20" s="147"/>
    </row>
    <row r="21" spans="1:23">
      <c r="A21" s="129"/>
      <c r="B21" s="77"/>
      <c r="C21" s="134"/>
      <c r="D21" s="135"/>
      <c r="E21" s="421"/>
      <c r="F21" s="422"/>
      <c r="G21" s="422"/>
      <c r="H21" s="422"/>
      <c r="I21" s="422"/>
      <c r="J21" s="423"/>
      <c r="K21" s="391"/>
      <c r="L21" s="392"/>
      <c r="N21" s="133"/>
      <c r="Q21" s="77"/>
      <c r="R21" s="77"/>
      <c r="S21" s="281"/>
      <c r="T21" s="152"/>
      <c r="U21" s="77"/>
      <c r="V21" s="153"/>
      <c r="W21" s="147"/>
    </row>
    <row r="22" spans="1:23">
      <c r="A22" s="129" t="str">
        <f t="shared" ref="A22:A28" si="0">IF(B21=0, "", B21)</f>
        <v/>
      </c>
      <c r="B22" s="77"/>
      <c r="C22" s="134"/>
      <c r="D22" s="135"/>
      <c r="E22" s="421"/>
      <c r="F22" s="422"/>
      <c r="G22" s="422"/>
      <c r="H22" s="422"/>
      <c r="I22" s="422"/>
      <c r="J22" s="423"/>
      <c r="K22" s="391"/>
      <c r="L22" s="392"/>
      <c r="N22" s="133"/>
      <c r="Q22" s="77"/>
      <c r="R22" s="77"/>
      <c r="S22" s="281"/>
      <c r="T22" s="152"/>
      <c r="U22" s="77"/>
      <c r="V22" s="153"/>
      <c r="W22" s="147"/>
    </row>
    <row r="23" spans="1:23">
      <c r="A23" s="129" t="str">
        <f t="shared" si="0"/>
        <v/>
      </c>
      <c r="B23" s="77"/>
      <c r="C23" s="134"/>
      <c r="D23" s="135"/>
      <c r="E23" s="421"/>
      <c r="F23" s="422"/>
      <c r="G23" s="422"/>
      <c r="H23" s="422"/>
      <c r="I23" s="422"/>
      <c r="J23" s="423"/>
      <c r="K23" s="391"/>
      <c r="L23" s="392"/>
      <c r="N23" s="133"/>
      <c r="Q23" s="77"/>
      <c r="R23" s="77"/>
      <c r="S23" s="281"/>
      <c r="T23" s="152"/>
      <c r="U23" s="77"/>
      <c r="V23" s="153"/>
      <c r="W23" s="147"/>
    </row>
    <row r="24" spans="1:23">
      <c r="A24" s="129" t="str">
        <f t="shared" si="0"/>
        <v/>
      </c>
      <c r="B24" s="77"/>
      <c r="C24" s="134"/>
      <c r="D24" s="135"/>
      <c r="E24" s="421"/>
      <c r="F24" s="422"/>
      <c r="G24" s="422"/>
      <c r="H24" s="422"/>
      <c r="I24" s="422"/>
      <c r="J24" s="423"/>
      <c r="K24" s="391"/>
      <c r="L24" s="392"/>
      <c r="N24" s="133"/>
      <c r="Q24" s="77"/>
      <c r="R24" s="77"/>
      <c r="S24" s="281"/>
      <c r="T24" s="152"/>
      <c r="U24" s="77"/>
      <c r="V24" s="153"/>
      <c r="W24" s="147"/>
    </row>
    <row r="25" spans="1:23">
      <c r="A25" s="129" t="str">
        <f t="shared" si="0"/>
        <v/>
      </c>
      <c r="B25" s="77"/>
      <c r="C25" s="134"/>
      <c r="D25" s="135"/>
      <c r="E25" s="421"/>
      <c r="F25" s="422"/>
      <c r="G25" s="422"/>
      <c r="H25" s="422"/>
      <c r="I25" s="422"/>
      <c r="J25" s="423"/>
      <c r="K25" s="391"/>
      <c r="L25" s="392"/>
      <c r="N25" s="133"/>
      <c r="Q25" s="77"/>
      <c r="R25" s="77"/>
      <c r="S25" s="154"/>
      <c r="T25" s="152"/>
      <c r="U25" s="77"/>
      <c r="V25" s="153"/>
      <c r="W25" s="147"/>
    </row>
    <row r="26" spans="1:23">
      <c r="A26" s="129" t="str">
        <f t="shared" si="0"/>
        <v/>
      </c>
      <c r="B26" s="77"/>
      <c r="C26" s="134"/>
      <c r="D26" s="135"/>
      <c r="E26" s="428"/>
      <c r="F26" s="429"/>
      <c r="G26" s="429"/>
      <c r="H26" s="429"/>
      <c r="I26" s="429"/>
      <c r="J26" s="430"/>
      <c r="K26" s="391"/>
      <c r="L26" s="392"/>
      <c r="N26" s="133"/>
      <c r="Q26" s="155"/>
      <c r="R26" s="77"/>
      <c r="S26" s="154"/>
      <c r="T26" s="156"/>
      <c r="U26" s="77"/>
      <c r="V26" s="154"/>
    </row>
    <row r="27" spans="1:23">
      <c r="A27" s="129" t="str">
        <f t="shared" si="0"/>
        <v/>
      </c>
      <c r="B27" s="77"/>
      <c r="C27" s="134"/>
      <c r="D27" s="135"/>
      <c r="E27" s="428"/>
      <c r="F27" s="429"/>
      <c r="G27" s="429"/>
      <c r="H27" s="429"/>
      <c r="I27" s="429"/>
      <c r="J27" s="430"/>
      <c r="K27" s="414"/>
      <c r="L27" s="417"/>
      <c r="N27" s="133"/>
      <c r="Q27" s="155"/>
      <c r="R27" s="77"/>
      <c r="S27" s="154"/>
      <c r="T27" s="156"/>
      <c r="U27" s="77"/>
      <c r="V27" s="154"/>
    </row>
    <row r="28" spans="1:23">
      <c r="A28" s="129" t="str">
        <f t="shared" si="0"/>
        <v/>
      </c>
      <c r="B28" s="77"/>
      <c r="C28" s="134"/>
      <c r="D28" s="135"/>
      <c r="E28" s="421"/>
      <c r="F28" s="422"/>
      <c r="G28" s="422"/>
      <c r="H28" s="422"/>
      <c r="I28" s="422"/>
      <c r="J28" s="423"/>
      <c r="K28" s="391"/>
      <c r="L28" s="392"/>
      <c r="Q28" s="155"/>
      <c r="R28" s="77"/>
      <c r="S28" s="154"/>
      <c r="T28" s="156"/>
      <c r="U28" s="77"/>
      <c r="V28" s="154"/>
    </row>
    <row r="29" spans="1:23">
      <c r="A29" s="129"/>
      <c r="B29" s="77"/>
      <c r="C29" s="134"/>
      <c r="D29" s="135"/>
      <c r="E29" s="421"/>
      <c r="F29" s="422"/>
      <c r="G29" s="422"/>
      <c r="H29" s="422"/>
      <c r="I29" s="422"/>
      <c r="J29" s="423"/>
      <c r="K29" s="391"/>
      <c r="L29" s="392"/>
      <c r="Q29" s="155"/>
      <c r="R29" s="77"/>
      <c r="S29" s="154"/>
      <c r="T29" s="156"/>
      <c r="U29" s="77"/>
      <c r="V29" s="154"/>
    </row>
    <row r="30" spans="1:23" ht="13">
      <c r="A30" s="386" t="s">
        <v>97</v>
      </c>
      <c r="B30" s="387"/>
      <c r="C30" s="387"/>
      <c r="D30" s="387"/>
      <c r="E30" s="387"/>
      <c r="F30" s="387"/>
      <c r="G30" s="387"/>
      <c r="H30" s="387"/>
      <c r="I30" s="387"/>
      <c r="J30" s="387"/>
      <c r="K30" s="387"/>
      <c r="L30" s="387"/>
    </row>
    <row r="31" spans="1:23">
      <c r="A31" s="110">
        <v>5</v>
      </c>
      <c r="B31" s="383"/>
      <c r="C31" s="384"/>
      <c r="D31" s="384"/>
      <c r="E31" s="384"/>
      <c r="F31" s="384"/>
      <c r="G31" s="384"/>
      <c r="H31" s="384"/>
      <c r="I31" s="384"/>
      <c r="J31" s="384"/>
      <c r="K31" s="384"/>
      <c r="L31" s="385"/>
    </row>
    <row r="32" spans="1:23">
      <c r="A32" s="110">
        <v>4</v>
      </c>
      <c r="B32" s="383"/>
      <c r="C32" s="384"/>
      <c r="D32" s="384"/>
      <c r="E32" s="384"/>
      <c r="F32" s="384"/>
      <c r="G32" s="384"/>
      <c r="H32" s="384"/>
      <c r="I32" s="384"/>
      <c r="J32" s="384"/>
      <c r="K32" s="384"/>
      <c r="L32" s="385"/>
    </row>
    <row r="33" spans="1:12" ht="12.75" customHeight="1">
      <c r="A33" s="110">
        <v>3</v>
      </c>
      <c r="B33" s="383"/>
      <c r="C33" s="384"/>
      <c r="D33" s="384"/>
      <c r="E33" s="384"/>
      <c r="F33" s="384"/>
      <c r="G33" s="384"/>
      <c r="H33" s="384"/>
      <c r="I33" s="384"/>
      <c r="J33" s="384"/>
      <c r="K33" s="384"/>
      <c r="L33" s="385"/>
    </row>
    <row r="34" spans="1:12" ht="12.75" customHeight="1">
      <c r="A34" s="110">
        <v>2</v>
      </c>
      <c r="B34" s="383"/>
      <c r="C34" s="384"/>
      <c r="D34" s="384"/>
      <c r="E34" s="384"/>
      <c r="F34" s="384"/>
      <c r="G34" s="384"/>
      <c r="H34" s="384"/>
      <c r="I34" s="384"/>
      <c r="J34" s="384"/>
      <c r="K34" s="384"/>
      <c r="L34" s="385"/>
    </row>
    <row r="35" spans="1:12" ht="12.75" customHeight="1">
      <c r="A35" s="110">
        <v>1</v>
      </c>
      <c r="B35" s="383"/>
      <c r="C35" s="384"/>
      <c r="D35" s="384"/>
      <c r="E35" s="384"/>
      <c r="F35" s="384"/>
      <c r="G35" s="384"/>
      <c r="H35" s="384"/>
      <c r="I35" s="384"/>
      <c r="J35" s="384"/>
      <c r="K35" s="384"/>
      <c r="L35" s="385"/>
    </row>
    <row r="36" spans="1:12" ht="12.75" customHeight="1">
      <c r="A36" s="110">
        <v>0</v>
      </c>
      <c r="B36" s="383"/>
      <c r="C36" s="384"/>
      <c r="D36" s="384"/>
      <c r="E36" s="384"/>
      <c r="F36" s="384"/>
      <c r="G36" s="384"/>
      <c r="H36" s="384"/>
      <c r="I36" s="384"/>
      <c r="J36" s="384"/>
      <c r="K36" s="384"/>
      <c r="L36" s="385"/>
    </row>
    <row r="37" spans="1:12" ht="12.75" customHeight="1">
      <c r="A37" s="381"/>
      <c r="B37" s="382"/>
      <c r="C37" s="382"/>
      <c r="D37" s="382"/>
      <c r="E37" s="382"/>
      <c r="F37" s="382"/>
      <c r="G37" s="382"/>
      <c r="H37" s="382"/>
      <c r="I37" s="382"/>
      <c r="J37" s="382"/>
      <c r="K37" s="382"/>
      <c r="L37" s="382"/>
    </row>
    <row r="38" spans="1:12" ht="12.75" customHeight="1">
      <c r="A38" s="387" t="s">
        <v>161</v>
      </c>
      <c r="B38" s="387"/>
      <c r="C38" s="387"/>
      <c r="D38" s="387"/>
      <c r="E38" s="387"/>
      <c r="F38" s="387"/>
      <c r="G38" s="387"/>
      <c r="H38" s="387"/>
      <c r="I38" s="387"/>
      <c r="J38" s="387"/>
      <c r="K38" s="387"/>
      <c r="L38" s="387"/>
    </row>
    <row r="39" spans="1:12" ht="12.75" customHeight="1">
      <c r="A39" s="394"/>
      <c r="B39" s="394"/>
      <c r="C39" s="394"/>
      <c r="D39" s="394"/>
      <c r="E39" s="394"/>
      <c r="F39" s="394"/>
      <c r="G39" s="394"/>
      <c r="H39" s="394"/>
      <c r="I39" s="394"/>
      <c r="J39" s="394"/>
      <c r="K39" s="394"/>
      <c r="L39" s="394"/>
    </row>
    <row r="40" spans="1:12">
      <c r="A40" s="395"/>
      <c r="B40" s="395"/>
      <c r="C40" s="395"/>
      <c r="D40" s="395"/>
      <c r="E40" s="395"/>
      <c r="F40" s="395"/>
      <c r="G40" s="395"/>
      <c r="H40" s="395"/>
      <c r="I40" s="395"/>
      <c r="J40" s="395"/>
      <c r="K40" s="395"/>
      <c r="L40" s="395"/>
    </row>
    <row r="41" spans="1:12">
      <c r="A41" s="384"/>
      <c r="B41" s="384"/>
      <c r="C41" s="384"/>
      <c r="D41" s="384"/>
      <c r="E41" s="384"/>
      <c r="F41" s="384"/>
      <c r="G41" s="384"/>
      <c r="H41" s="384"/>
      <c r="I41" s="384"/>
      <c r="J41" s="384"/>
      <c r="K41" s="384"/>
      <c r="L41" s="384"/>
    </row>
    <row r="42" spans="1:12" ht="12.75" customHeight="1">
      <c r="A42" s="384"/>
      <c r="B42" s="384"/>
      <c r="C42" s="384"/>
      <c r="D42" s="384"/>
      <c r="E42" s="384"/>
      <c r="F42" s="384"/>
      <c r="G42" s="384"/>
      <c r="H42" s="384"/>
      <c r="I42" s="384"/>
      <c r="J42" s="384"/>
      <c r="K42" s="384"/>
      <c r="L42" s="384"/>
    </row>
    <row r="43" spans="1:12" ht="12.75" customHeight="1">
      <c r="A43" s="384"/>
      <c r="B43" s="384"/>
      <c r="C43" s="384"/>
      <c r="D43" s="384"/>
      <c r="E43" s="384"/>
      <c r="F43" s="384"/>
      <c r="G43" s="384"/>
      <c r="H43" s="384"/>
      <c r="I43" s="384"/>
      <c r="J43" s="384"/>
      <c r="K43" s="384"/>
      <c r="L43" s="384"/>
    </row>
    <row r="44" spans="1:12" ht="12.75" customHeight="1">
      <c r="A44" s="384"/>
      <c r="B44" s="384"/>
      <c r="C44" s="384"/>
      <c r="D44" s="384"/>
      <c r="E44" s="384"/>
      <c r="F44" s="384"/>
      <c r="G44" s="384"/>
      <c r="H44" s="384"/>
      <c r="I44" s="384"/>
      <c r="J44" s="384"/>
      <c r="K44" s="384"/>
      <c r="L44" s="384"/>
    </row>
    <row r="45" spans="1:12" ht="12.75" customHeight="1">
      <c r="A45" s="393"/>
      <c r="B45" s="393"/>
      <c r="C45" s="393"/>
      <c r="D45" s="393"/>
      <c r="E45" s="393"/>
      <c r="F45" s="393"/>
      <c r="G45" s="393"/>
      <c r="H45" s="393"/>
      <c r="I45" s="393"/>
      <c r="J45" s="393"/>
      <c r="K45" s="393"/>
      <c r="L45" s="393"/>
    </row>
    <row r="46" spans="1:12" ht="12.75" customHeight="1"/>
    <row r="47" spans="1:12" ht="12.75" customHeight="1"/>
    <row r="48" spans="1:12" ht="12.75" customHeight="1"/>
    <row r="49" ht="12.75" customHeight="1"/>
  </sheetData>
  <sheetProtection formatCells="0"/>
  <mergeCells count="73">
    <mergeCell ref="A1:L1"/>
    <mergeCell ref="Q6:V6"/>
    <mergeCell ref="Q7:S7"/>
    <mergeCell ref="T7:V7"/>
    <mergeCell ref="E13:J13"/>
    <mergeCell ref="K13:L13"/>
    <mergeCell ref="E11:J11"/>
    <mergeCell ref="K11:L11"/>
    <mergeCell ref="E12:J12"/>
    <mergeCell ref="K12:L12"/>
    <mergeCell ref="A2:L2"/>
    <mergeCell ref="A3:L3"/>
    <mergeCell ref="A4:L4"/>
    <mergeCell ref="A5:L5"/>
    <mergeCell ref="A6:L6"/>
    <mergeCell ref="A7:B7"/>
    <mergeCell ref="E14:J14"/>
    <mergeCell ref="K14:L14"/>
    <mergeCell ref="E15:J15"/>
    <mergeCell ref="K15:L15"/>
    <mergeCell ref="E16:J16"/>
    <mergeCell ref="K16:L16"/>
    <mergeCell ref="E17:J17"/>
    <mergeCell ref="K17:L17"/>
    <mergeCell ref="E18:J18"/>
    <mergeCell ref="K18:L18"/>
    <mergeCell ref="E19:J19"/>
    <mergeCell ref="K19:L19"/>
    <mergeCell ref="E20:J20"/>
    <mergeCell ref="K20:L20"/>
    <mergeCell ref="E21:J21"/>
    <mergeCell ref="K21:L21"/>
    <mergeCell ref="E22:J22"/>
    <mergeCell ref="K22:L22"/>
    <mergeCell ref="E23:J23"/>
    <mergeCell ref="K23:L23"/>
    <mergeCell ref="E24:J24"/>
    <mergeCell ref="K24:L24"/>
    <mergeCell ref="E25:J25"/>
    <mergeCell ref="K25:L25"/>
    <mergeCell ref="B33:L33"/>
    <mergeCell ref="E26:J26"/>
    <mergeCell ref="K26:L26"/>
    <mergeCell ref="E27:J27"/>
    <mergeCell ref="K27:L27"/>
    <mergeCell ref="E28:J28"/>
    <mergeCell ref="K28:L28"/>
    <mergeCell ref="E29:J29"/>
    <mergeCell ref="K29:L29"/>
    <mergeCell ref="A30:L30"/>
    <mergeCell ref="B31:L31"/>
    <mergeCell ref="B32:L32"/>
    <mergeCell ref="A45:L45"/>
    <mergeCell ref="B34:L34"/>
    <mergeCell ref="B35:L35"/>
    <mergeCell ref="B36:L36"/>
    <mergeCell ref="A37:L37"/>
    <mergeCell ref="A38:L38"/>
    <mergeCell ref="A39:L39"/>
    <mergeCell ref="A40:L40"/>
    <mergeCell ref="A41:L41"/>
    <mergeCell ref="A42:L42"/>
    <mergeCell ref="A43:L43"/>
    <mergeCell ref="A44:L44"/>
    <mergeCell ref="E9:J9"/>
    <mergeCell ref="K9:L9"/>
    <mergeCell ref="E10:J10"/>
    <mergeCell ref="K10:L10"/>
    <mergeCell ref="C7:D7"/>
    <mergeCell ref="E7:J7"/>
    <mergeCell ref="K7:L7"/>
    <mergeCell ref="E8:J8"/>
    <mergeCell ref="K8:L8"/>
  </mergeCells>
  <conditionalFormatting sqref="A31:A36">
    <cfRule type="containsText" dxfId="312" priority="271" stopIfTrue="1" operator="containsText" text="0">
      <formula>NOT(ISERROR(SEARCH("0",A31)))</formula>
    </cfRule>
    <cfRule type="containsText" dxfId="311" priority="272" stopIfTrue="1" operator="containsText" text="1">
      <formula>NOT(ISERROR(SEARCH("1",A31)))</formula>
    </cfRule>
    <cfRule type="containsText" dxfId="310" priority="273" stopIfTrue="1" operator="containsText" text="2">
      <formula>NOT(ISERROR(SEARCH("2",A31)))</formula>
    </cfRule>
    <cfRule type="containsText" dxfId="309" priority="274" stopIfTrue="1" operator="containsText" text="3">
      <formula>NOT(ISERROR(SEARCH("3",A31)))</formula>
    </cfRule>
    <cfRule type="containsText" dxfId="308" priority="275" stopIfTrue="1" operator="containsText" text="4">
      <formula>NOT(ISERROR(SEARCH("4",A31)))</formula>
    </cfRule>
    <cfRule type="containsText" dxfId="307" priority="276" stopIfTrue="1" operator="containsText" text="5">
      <formula>NOT(ISERROR(SEARCH("5",A31)))</formula>
    </cfRule>
  </conditionalFormatting>
  <conditionalFormatting sqref="K28:L28">
    <cfRule type="containsText" dxfId="306" priority="259" stopIfTrue="1" operator="containsText" text="0">
      <formula>NOT(ISERROR(SEARCH("0",K28)))</formula>
    </cfRule>
    <cfRule type="containsText" dxfId="305" priority="260" stopIfTrue="1" operator="containsText" text="1">
      <formula>NOT(ISERROR(SEARCH("1",K28)))</formula>
    </cfRule>
    <cfRule type="containsText" dxfId="304" priority="261" stopIfTrue="1" operator="containsText" text="2">
      <formula>NOT(ISERROR(SEARCH("2",K28)))</formula>
    </cfRule>
    <cfRule type="containsText" dxfId="303" priority="262" stopIfTrue="1" operator="containsText" text="3">
      <formula>NOT(ISERROR(SEARCH("3",K28)))</formula>
    </cfRule>
    <cfRule type="containsText" dxfId="302" priority="263" stopIfTrue="1" operator="containsText" text="4">
      <formula>NOT(ISERROR(SEARCH("4",K28)))</formula>
    </cfRule>
    <cfRule type="containsText" dxfId="301" priority="264" stopIfTrue="1" operator="containsText" text="5">
      <formula>NOT(ISERROR(SEARCH("5",K28)))</formula>
    </cfRule>
  </conditionalFormatting>
  <conditionalFormatting sqref="K29:L29">
    <cfRule type="containsText" dxfId="300" priority="265" stopIfTrue="1" operator="containsText" text="0">
      <formula>NOT(ISERROR(SEARCH("0",K29)))</formula>
    </cfRule>
    <cfRule type="containsText" dxfId="299" priority="266" stopIfTrue="1" operator="containsText" text="1">
      <formula>NOT(ISERROR(SEARCH("1",K29)))</formula>
    </cfRule>
    <cfRule type="containsText" dxfId="298" priority="267" stopIfTrue="1" operator="containsText" text="2">
      <formula>NOT(ISERROR(SEARCH("2",K29)))</formula>
    </cfRule>
    <cfRule type="containsText" dxfId="297" priority="268" stopIfTrue="1" operator="containsText" text="3">
      <formula>NOT(ISERROR(SEARCH("3",K29)))</formula>
    </cfRule>
    <cfRule type="containsText" dxfId="296" priority="269" stopIfTrue="1" operator="containsText" text="4">
      <formula>NOT(ISERROR(SEARCH("4",K29)))</formula>
    </cfRule>
    <cfRule type="containsText" dxfId="295" priority="270" stopIfTrue="1" operator="containsText" text="5">
      <formula>NOT(ISERROR(SEARCH("5",K29)))</formula>
    </cfRule>
  </conditionalFormatting>
  <conditionalFormatting sqref="K22:L24">
    <cfRule type="containsText" dxfId="294" priority="241" stopIfTrue="1" operator="containsText" text="0">
      <formula>NOT(ISERROR(SEARCH("0",K22)))</formula>
    </cfRule>
    <cfRule type="containsText" dxfId="293" priority="242" stopIfTrue="1" operator="containsText" text="1">
      <formula>NOT(ISERROR(SEARCH("1",K22)))</formula>
    </cfRule>
    <cfRule type="containsText" dxfId="292" priority="243" stopIfTrue="1" operator="containsText" text="2">
      <formula>NOT(ISERROR(SEARCH("2",K22)))</formula>
    </cfRule>
    <cfRule type="containsText" dxfId="291" priority="244" stopIfTrue="1" operator="containsText" text="3">
      <formula>NOT(ISERROR(SEARCH("3",K22)))</formula>
    </cfRule>
    <cfRule type="containsText" dxfId="290" priority="245" stopIfTrue="1" operator="containsText" text="4">
      <formula>NOT(ISERROR(SEARCH("4",K22)))</formula>
    </cfRule>
    <cfRule type="containsText" dxfId="289" priority="246" stopIfTrue="1" operator="containsText" text="5">
      <formula>NOT(ISERROR(SEARCH("5",K22)))</formula>
    </cfRule>
  </conditionalFormatting>
  <conditionalFormatting sqref="K27 K25:L26">
    <cfRule type="containsText" dxfId="288" priority="217" stopIfTrue="1" operator="containsText" text="0">
      <formula>NOT(ISERROR(SEARCH("0",K25)))</formula>
    </cfRule>
    <cfRule type="containsText" dxfId="287" priority="218" stopIfTrue="1" operator="containsText" text="1">
      <formula>NOT(ISERROR(SEARCH("1",K25)))</formula>
    </cfRule>
    <cfRule type="containsText" dxfId="286" priority="219" stopIfTrue="1" operator="containsText" text="2">
      <formula>NOT(ISERROR(SEARCH("2",K25)))</formula>
    </cfRule>
    <cfRule type="containsText" dxfId="285" priority="220" stopIfTrue="1" operator="containsText" text="3">
      <formula>NOT(ISERROR(SEARCH("3",K25)))</formula>
    </cfRule>
    <cfRule type="containsText" dxfId="284" priority="221" stopIfTrue="1" operator="containsText" text="4">
      <formula>NOT(ISERROR(SEARCH("4",K25)))</formula>
    </cfRule>
    <cfRule type="containsText" dxfId="283" priority="222" stopIfTrue="1" operator="containsText" text="5">
      <formula>NOT(ISERROR(SEARCH("5",K25)))</formula>
    </cfRule>
  </conditionalFormatting>
  <conditionalFormatting sqref="K17:L17">
    <cfRule type="containsText" dxfId="282" priority="151" stopIfTrue="1" operator="containsText" text="0">
      <formula>NOT(ISERROR(SEARCH("0",K17)))</formula>
    </cfRule>
    <cfRule type="containsText" dxfId="281" priority="152" stopIfTrue="1" operator="containsText" text="1">
      <formula>NOT(ISERROR(SEARCH("1",K17)))</formula>
    </cfRule>
    <cfRule type="containsText" dxfId="280" priority="153" stopIfTrue="1" operator="containsText" text="2">
      <formula>NOT(ISERROR(SEARCH("2",K17)))</formula>
    </cfRule>
    <cfRule type="containsText" dxfId="279" priority="154" stopIfTrue="1" operator="containsText" text="3">
      <formula>NOT(ISERROR(SEARCH("3",K17)))</formula>
    </cfRule>
    <cfRule type="containsText" dxfId="278" priority="155" stopIfTrue="1" operator="containsText" text="4">
      <formula>NOT(ISERROR(SEARCH("4",K17)))</formula>
    </cfRule>
    <cfRule type="containsText" dxfId="277" priority="156" stopIfTrue="1" operator="containsText" text="5">
      <formula>NOT(ISERROR(SEARCH("5",K17)))</formula>
    </cfRule>
  </conditionalFormatting>
  <conditionalFormatting sqref="K13:L13">
    <cfRule type="containsText" dxfId="276" priority="103" stopIfTrue="1" operator="containsText" text="0">
      <formula>NOT(ISERROR(SEARCH("0",K13)))</formula>
    </cfRule>
    <cfRule type="containsText" dxfId="275" priority="104" stopIfTrue="1" operator="containsText" text="1">
      <formula>NOT(ISERROR(SEARCH("1",K13)))</formula>
    </cfRule>
    <cfRule type="containsText" dxfId="274" priority="105" stopIfTrue="1" operator="containsText" text="2">
      <formula>NOT(ISERROR(SEARCH("2",K13)))</formula>
    </cfRule>
    <cfRule type="containsText" dxfId="273" priority="106" stopIfTrue="1" operator="containsText" text="3">
      <formula>NOT(ISERROR(SEARCH("3",K13)))</formula>
    </cfRule>
    <cfRule type="containsText" dxfId="272" priority="107" stopIfTrue="1" operator="containsText" text="4">
      <formula>NOT(ISERROR(SEARCH("4",K13)))</formula>
    </cfRule>
    <cfRule type="containsText" dxfId="271" priority="108" stopIfTrue="1" operator="containsText" text="5">
      <formula>NOT(ISERROR(SEARCH("5",K13)))</formula>
    </cfRule>
  </conditionalFormatting>
  <conditionalFormatting sqref="K9:L9">
    <cfRule type="containsText" dxfId="270" priority="91" stopIfTrue="1" operator="containsText" text="0">
      <formula>NOT(ISERROR(SEARCH("0",K9)))</formula>
    </cfRule>
    <cfRule type="containsText" dxfId="269" priority="92" stopIfTrue="1" operator="containsText" text="1">
      <formula>NOT(ISERROR(SEARCH("1",K9)))</formula>
    </cfRule>
    <cfRule type="containsText" dxfId="268" priority="93" stopIfTrue="1" operator="containsText" text="2">
      <formula>NOT(ISERROR(SEARCH("2",K9)))</formula>
    </cfRule>
    <cfRule type="containsText" dxfId="267" priority="94" stopIfTrue="1" operator="containsText" text="3">
      <formula>NOT(ISERROR(SEARCH("3",K9)))</formula>
    </cfRule>
    <cfRule type="containsText" dxfId="266" priority="95" stopIfTrue="1" operator="containsText" text="4">
      <formula>NOT(ISERROR(SEARCH("4",K9)))</formula>
    </cfRule>
    <cfRule type="containsText" dxfId="265" priority="96" stopIfTrue="1" operator="containsText" text="5">
      <formula>NOT(ISERROR(SEARCH("5",K9)))</formula>
    </cfRule>
  </conditionalFormatting>
  <conditionalFormatting sqref="K11:L11">
    <cfRule type="containsText" dxfId="264" priority="85" stopIfTrue="1" operator="containsText" text="0">
      <formula>NOT(ISERROR(SEARCH("0",K11)))</formula>
    </cfRule>
    <cfRule type="containsText" dxfId="263" priority="86" stopIfTrue="1" operator="containsText" text="1">
      <formula>NOT(ISERROR(SEARCH("1",K11)))</formula>
    </cfRule>
    <cfRule type="containsText" dxfId="262" priority="87" stopIfTrue="1" operator="containsText" text="2">
      <formula>NOT(ISERROR(SEARCH("2",K11)))</formula>
    </cfRule>
    <cfRule type="containsText" dxfId="261" priority="88" stopIfTrue="1" operator="containsText" text="3">
      <formula>NOT(ISERROR(SEARCH("3",K11)))</formula>
    </cfRule>
    <cfRule type="containsText" dxfId="260" priority="89" stopIfTrue="1" operator="containsText" text="4">
      <formula>NOT(ISERROR(SEARCH("4",K11)))</formula>
    </cfRule>
    <cfRule type="containsText" dxfId="259" priority="90" stopIfTrue="1" operator="containsText" text="5">
      <formula>NOT(ISERROR(SEARCH("5",K11)))</formula>
    </cfRule>
  </conditionalFormatting>
  <conditionalFormatting sqref="K10:L10">
    <cfRule type="containsText" dxfId="258" priority="79" stopIfTrue="1" operator="containsText" text="0">
      <formula>NOT(ISERROR(SEARCH("0",K10)))</formula>
    </cfRule>
    <cfRule type="containsText" dxfId="257" priority="80" stopIfTrue="1" operator="containsText" text="1">
      <formula>NOT(ISERROR(SEARCH("1",K10)))</formula>
    </cfRule>
    <cfRule type="containsText" dxfId="256" priority="81" stopIfTrue="1" operator="containsText" text="2">
      <formula>NOT(ISERROR(SEARCH("2",K10)))</formula>
    </cfRule>
    <cfRule type="containsText" dxfId="255" priority="82" stopIfTrue="1" operator="containsText" text="3">
      <formula>NOT(ISERROR(SEARCH("3",K10)))</formula>
    </cfRule>
    <cfRule type="containsText" dxfId="254" priority="83" stopIfTrue="1" operator="containsText" text="4">
      <formula>NOT(ISERROR(SEARCH("4",K10)))</formula>
    </cfRule>
    <cfRule type="containsText" dxfId="253" priority="84" stopIfTrue="1" operator="containsText" text="5">
      <formula>NOT(ISERROR(SEARCH("5",K10)))</formula>
    </cfRule>
  </conditionalFormatting>
  <conditionalFormatting sqref="K12:L12">
    <cfRule type="containsText" dxfId="252" priority="61" stopIfTrue="1" operator="containsText" text="0">
      <formula>NOT(ISERROR(SEARCH("0",K12)))</formula>
    </cfRule>
    <cfRule type="containsText" dxfId="251" priority="62" stopIfTrue="1" operator="containsText" text="1">
      <formula>NOT(ISERROR(SEARCH("1",K12)))</formula>
    </cfRule>
    <cfRule type="containsText" dxfId="250" priority="63" stopIfTrue="1" operator="containsText" text="2">
      <formula>NOT(ISERROR(SEARCH("2",K12)))</formula>
    </cfRule>
    <cfRule type="containsText" dxfId="249" priority="64" stopIfTrue="1" operator="containsText" text="3">
      <formula>NOT(ISERROR(SEARCH("3",K12)))</formula>
    </cfRule>
    <cfRule type="containsText" dxfId="248" priority="65" stopIfTrue="1" operator="containsText" text="4">
      <formula>NOT(ISERROR(SEARCH("4",K12)))</formula>
    </cfRule>
    <cfRule type="containsText" dxfId="247" priority="66" stopIfTrue="1" operator="containsText" text="5">
      <formula>NOT(ISERROR(SEARCH("5",K12)))</formula>
    </cfRule>
  </conditionalFormatting>
  <conditionalFormatting sqref="K14:L14">
    <cfRule type="containsText" dxfId="246" priority="49" stopIfTrue="1" operator="containsText" text="0">
      <formula>NOT(ISERROR(SEARCH("0",K14)))</formula>
    </cfRule>
    <cfRule type="containsText" dxfId="245" priority="50" stopIfTrue="1" operator="containsText" text="1">
      <formula>NOT(ISERROR(SEARCH("1",K14)))</formula>
    </cfRule>
    <cfRule type="containsText" dxfId="244" priority="51" stopIfTrue="1" operator="containsText" text="2">
      <formula>NOT(ISERROR(SEARCH("2",K14)))</formula>
    </cfRule>
    <cfRule type="containsText" dxfId="243" priority="52" stopIfTrue="1" operator="containsText" text="3">
      <formula>NOT(ISERROR(SEARCH("3",K14)))</formula>
    </cfRule>
    <cfRule type="containsText" dxfId="242" priority="53" stopIfTrue="1" operator="containsText" text="4">
      <formula>NOT(ISERROR(SEARCH("4",K14)))</formula>
    </cfRule>
    <cfRule type="containsText" dxfId="241" priority="54" stopIfTrue="1" operator="containsText" text="5">
      <formula>NOT(ISERROR(SEARCH("5",K14)))</formula>
    </cfRule>
  </conditionalFormatting>
  <conditionalFormatting sqref="K15:L15">
    <cfRule type="containsText" dxfId="240" priority="43" stopIfTrue="1" operator="containsText" text="0">
      <formula>NOT(ISERROR(SEARCH("0",K15)))</formula>
    </cfRule>
    <cfRule type="containsText" dxfId="239" priority="44" stopIfTrue="1" operator="containsText" text="1">
      <formula>NOT(ISERROR(SEARCH("1",K15)))</formula>
    </cfRule>
    <cfRule type="containsText" dxfId="238" priority="45" stopIfTrue="1" operator="containsText" text="2">
      <formula>NOT(ISERROR(SEARCH("2",K15)))</formula>
    </cfRule>
    <cfRule type="containsText" dxfId="237" priority="46" stopIfTrue="1" operator="containsText" text="3">
      <formula>NOT(ISERROR(SEARCH("3",K15)))</formula>
    </cfRule>
    <cfRule type="containsText" dxfId="236" priority="47" stopIfTrue="1" operator="containsText" text="4">
      <formula>NOT(ISERROR(SEARCH("4",K15)))</formula>
    </cfRule>
    <cfRule type="containsText" dxfId="235" priority="48" stopIfTrue="1" operator="containsText" text="5">
      <formula>NOT(ISERROR(SEARCH("5",K15)))</formula>
    </cfRule>
  </conditionalFormatting>
  <conditionalFormatting sqref="K16:L16">
    <cfRule type="containsText" dxfId="234" priority="37" stopIfTrue="1" operator="containsText" text="0">
      <formula>NOT(ISERROR(SEARCH("0",K16)))</formula>
    </cfRule>
    <cfRule type="containsText" dxfId="233" priority="38" stopIfTrue="1" operator="containsText" text="1">
      <formula>NOT(ISERROR(SEARCH("1",K16)))</formula>
    </cfRule>
    <cfRule type="containsText" dxfId="232" priority="39" stopIfTrue="1" operator="containsText" text="2">
      <formula>NOT(ISERROR(SEARCH("2",K16)))</formula>
    </cfRule>
    <cfRule type="containsText" dxfId="231" priority="40" stopIfTrue="1" operator="containsText" text="3">
      <formula>NOT(ISERROR(SEARCH("3",K16)))</formula>
    </cfRule>
    <cfRule type="containsText" dxfId="230" priority="41" stopIfTrue="1" operator="containsText" text="4">
      <formula>NOT(ISERROR(SEARCH("4",K16)))</formula>
    </cfRule>
    <cfRule type="containsText" dxfId="229" priority="42" stopIfTrue="1" operator="containsText" text="5">
      <formula>NOT(ISERROR(SEARCH("5",K16)))</formula>
    </cfRule>
  </conditionalFormatting>
  <conditionalFormatting sqref="K20:L20">
    <cfRule type="containsText" dxfId="228" priority="19" stopIfTrue="1" operator="containsText" text="0">
      <formula>NOT(ISERROR(SEARCH("0",K20)))</formula>
    </cfRule>
    <cfRule type="containsText" dxfId="227" priority="20" stopIfTrue="1" operator="containsText" text="1">
      <formula>NOT(ISERROR(SEARCH("1",K20)))</formula>
    </cfRule>
    <cfRule type="containsText" dxfId="226" priority="21" stopIfTrue="1" operator="containsText" text="2">
      <formula>NOT(ISERROR(SEARCH("2",K20)))</formula>
    </cfRule>
    <cfRule type="containsText" dxfId="225" priority="22" stopIfTrue="1" operator="containsText" text="3">
      <formula>NOT(ISERROR(SEARCH("3",K20)))</formula>
    </cfRule>
    <cfRule type="containsText" dxfId="224" priority="23" stopIfTrue="1" operator="containsText" text="4">
      <formula>NOT(ISERROR(SEARCH("4",K20)))</formula>
    </cfRule>
    <cfRule type="containsText" dxfId="223" priority="24" stopIfTrue="1" operator="containsText" text="5">
      <formula>NOT(ISERROR(SEARCH("5",K20)))</formula>
    </cfRule>
  </conditionalFormatting>
  <conditionalFormatting sqref="K21:L21">
    <cfRule type="containsText" dxfId="222" priority="13" stopIfTrue="1" operator="containsText" text="0">
      <formula>NOT(ISERROR(SEARCH("0",K21)))</formula>
    </cfRule>
    <cfRule type="containsText" dxfId="221" priority="14" stopIfTrue="1" operator="containsText" text="1">
      <formula>NOT(ISERROR(SEARCH("1",K21)))</formula>
    </cfRule>
    <cfRule type="containsText" dxfId="220" priority="15" stopIfTrue="1" operator="containsText" text="2">
      <formula>NOT(ISERROR(SEARCH("2",K21)))</formula>
    </cfRule>
    <cfRule type="containsText" dxfId="219" priority="16" stopIfTrue="1" operator="containsText" text="3">
      <formula>NOT(ISERROR(SEARCH("3",K21)))</formula>
    </cfRule>
    <cfRule type="containsText" dxfId="218" priority="17" stopIfTrue="1" operator="containsText" text="4">
      <formula>NOT(ISERROR(SEARCH("4",K21)))</formula>
    </cfRule>
    <cfRule type="containsText" dxfId="217" priority="18" stopIfTrue="1" operator="containsText" text="5">
      <formula>NOT(ISERROR(SEARCH("5",K21)))</formula>
    </cfRule>
  </conditionalFormatting>
  <conditionalFormatting sqref="K18:L18">
    <cfRule type="containsText" dxfId="216" priority="7" stopIfTrue="1" operator="containsText" text="0">
      <formula>NOT(ISERROR(SEARCH("0",K18)))</formula>
    </cfRule>
    <cfRule type="containsText" dxfId="215" priority="8" stopIfTrue="1" operator="containsText" text="1">
      <formula>NOT(ISERROR(SEARCH("1",K18)))</formula>
    </cfRule>
    <cfRule type="containsText" dxfId="214" priority="9" stopIfTrue="1" operator="containsText" text="2">
      <formula>NOT(ISERROR(SEARCH("2",K18)))</formula>
    </cfRule>
    <cfRule type="containsText" dxfId="213" priority="10" stopIfTrue="1" operator="containsText" text="3">
      <formula>NOT(ISERROR(SEARCH("3",K18)))</formula>
    </cfRule>
    <cfRule type="containsText" dxfId="212" priority="11" stopIfTrue="1" operator="containsText" text="4">
      <formula>NOT(ISERROR(SEARCH("4",K18)))</formula>
    </cfRule>
    <cfRule type="containsText" dxfId="211" priority="12" stopIfTrue="1" operator="containsText" text="5">
      <formula>NOT(ISERROR(SEARCH("5",K18)))</formula>
    </cfRule>
  </conditionalFormatting>
  <conditionalFormatting sqref="K19:L19">
    <cfRule type="containsText" dxfId="210" priority="1" stopIfTrue="1" operator="containsText" text="0">
      <formula>NOT(ISERROR(SEARCH("0",K19)))</formula>
    </cfRule>
    <cfRule type="containsText" dxfId="209" priority="2" stopIfTrue="1" operator="containsText" text="1">
      <formula>NOT(ISERROR(SEARCH("1",K19)))</formula>
    </cfRule>
    <cfRule type="containsText" dxfId="208" priority="3" stopIfTrue="1" operator="containsText" text="2">
      <formula>NOT(ISERROR(SEARCH("2",K19)))</formula>
    </cfRule>
    <cfRule type="containsText" dxfId="207" priority="4" stopIfTrue="1" operator="containsText" text="3">
      <formula>NOT(ISERROR(SEARCH("3",K19)))</formula>
    </cfRule>
    <cfRule type="containsText" dxfId="206" priority="5" stopIfTrue="1" operator="containsText" text="4">
      <formula>NOT(ISERROR(SEARCH("4",K19)))</formula>
    </cfRule>
    <cfRule type="containsText" dxfId="205" priority="6" stopIfTrue="1" operator="containsText" text="5">
      <formula>NOT(ISERROR(SEARCH("5",K19)))</formula>
    </cfRule>
  </conditionalFormatting>
  <printOptions horizontalCentere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AddTargetLateral">
                <anchor moveWithCells="1" sizeWithCells="1">
                  <from>
                    <xdr:col>12</xdr:col>
                    <xdr:colOff>57150</xdr:colOff>
                    <xdr:row>5</xdr:row>
                    <xdr:rowOff>12700</xdr:rowOff>
                  </from>
                  <to>
                    <xdr:col>15</xdr:col>
                    <xdr:colOff>514350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5" name="Button 2">
              <controlPr defaultSize="0" print="0" autoFill="0" autoPict="0" macro="[0]!AddrowTL">
                <anchor moveWithCells="1" sizeWithCells="1">
                  <from>
                    <xdr:col>12</xdr:col>
                    <xdr:colOff>50800</xdr:colOff>
                    <xdr:row>0</xdr:row>
                    <xdr:rowOff>50800</xdr:rowOff>
                  </from>
                  <to>
                    <xdr:col>15</xdr:col>
                    <xdr:colOff>508000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6" name="Button 3">
              <controlPr defaultSize="0" print="0" autoFill="0" autoPict="0" macro="[0]!DeleteRowTL">
                <anchor moveWithCells="1" sizeWithCells="1">
                  <from>
                    <xdr:col>12</xdr:col>
                    <xdr:colOff>57150</xdr:colOff>
                    <xdr:row>1</xdr:row>
                    <xdr:rowOff>152400</xdr:rowOff>
                  </from>
                  <to>
                    <xdr:col>15</xdr:col>
                    <xdr:colOff>514350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pageSetUpPr fitToPage="1"/>
  </sheetPr>
  <dimension ref="A1:Y49"/>
  <sheetViews>
    <sheetView zoomScaleNormal="100" workbookViewId="0">
      <selection activeCell="Q9" sqref="Q9:S29"/>
    </sheetView>
  </sheetViews>
  <sheetFormatPr defaultRowHeight="12.5"/>
  <cols>
    <col min="1" max="1" width="7.453125" customWidth="1"/>
    <col min="2" max="2" width="8.54296875" customWidth="1"/>
    <col min="3" max="12" width="7.453125" customWidth="1"/>
    <col min="13" max="13" width="9.1796875" style="23"/>
    <col min="17" max="22" width="15.7265625" customWidth="1"/>
  </cols>
  <sheetData>
    <row r="1" spans="1:25" s="15" customFormat="1" ht="23">
      <c r="A1" s="350" t="s">
        <v>105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160"/>
      <c r="N1" s="161"/>
      <c r="O1" s="161"/>
      <c r="P1" s="161"/>
      <c r="Q1"/>
      <c r="R1" s="127" t="s">
        <v>128</v>
      </c>
      <c r="S1" s="127"/>
      <c r="T1" s="127"/>
      <c r="U1"/>
      <c r="W1"/>
      <c r="X1"/>
      <c r="Y1"/>
    </row>
    <row r="2" spans="1:25" ht="14.5">
      <c r="A2" s="412"/>
      <c r="B2" s="412"/>
      <c r="C2" s="412"/>
      <c r="D2" s="412"/>
      <c r="E2" s="412"/>
      <c r="F2" s="412"/>
      <c r="G2" s="412"/>
      <c r="H2" s="412"/>
      <c r="I2" s="412"/>
      <c r="J2" s="412"/>
      <c r="K2" s="412"/>
      <c r="L2" s="412"/>
      <c r="M2" s="162"/>
      <c r="N2" s="127"/>
      <c r="O2" s="127"/>
      <c r="P2" s="127"/>
      <c r="Q2" s="149" t="s">
        <v>126</v>
      </c>
      <c r="R2" s="126" t="s">
        <v>124</v>
      </c>
    </row>
    <row r="3" spans="1:25" ht="14.5">
      <c r="A3" s="413" t="s">
        <v>101</v>
      </c>
      <c r="B3" s="413"/>
      <c r="C3" s="413"/>
      <c r="D3" s="413"/>
      <c r="E3" s="413"/>
      <c r="F3" s="413"/>
      <c r="G3" s="413"/>
      <c r="H3" s="413"/>
      <c r="I3" s="413"/>
      <c r="J3" s="413"/>
      <c r="K3" s="413"/>
      <c r="L3" s="413"/>
      <c r="M3" s="162"/>
      <c r="N3" s="127"/>
      <c r="O3" s="127"/>
      <c r="P3" s="127"/>
      <c r="Q3" s="149" t="s">
        <v>127</v>
      </c>
      <c r="R3" s="126" t="s">
        <v>125</v>
      </c>
    </row>
    <row r="4" spans="1:25">
      <c r="A4" s="412"/>
      <c r="B4" s="412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162"/>
      <c r="N4" s="127"/>
      <c r="O4" s="127"/>
      <c r="P4" s="127"/>
    </row>
    <row r="5" spans="1:25" ht="23">
      <c r="A5" s="400" t="s">
        <v>167</v>
      </c>
      <c r="B5" s="400"/>
      <c r="C5" s="400"/>
      <c r="D5" s="400"/>
      <c r="E5" s="400"/>
      <c r="F5" s="400"/>
      <c r="G5" s="400"/>
      <c r="H5" s="400"/>
      <c r="I5" s="400"/>
      <c r="J5" s="400"/>
      <c r="K5" s="400"/>
      <c r="L5" s="400"/>
    </row>
    <row r="6" spans="1:25" ht="17.25" customHeight="1">
      <c r="A6" s="386" t="s">
        <v>85</v>
      </c>
      <c r="B6" s="386"/>
      <c r="C6" s="386"/>
      <c r="D6" s="386"/>
      <c r="E6" s="386"/>
      <c r="F6" s="386"/>
      <c r="G6" s="386"/>
      <c r="H6" s="386"/>
      <c r="I6" s="386"/>
      <c r="J6" s="386"/>
      <c r="K6" s="386"/>
      <c r="L6" s="386"/>
      <c r="Q6" s="396" t="s">
        <v>151</v>
      </c>
      <c r="R6" s="396"/>
      <c r="S6" s="396"/>
      <c r="T6" s="396"/>
      <c r="U6" s="396"/>
      <c r="V6" s="396"/>
    </row>
    <row r="7" spans="1:25" ht="13.15" customHeight="1">
      <c r="A7" s="401" t="s">
        <v>86</v>
      </c>
      <c r="B7" s="402"/>
      <c r="C7" s="403" t="s">
        <v>87</v>
      </c>
      <c r="D7" s="402"/>
      <c r="E7" s="404"/>
      <c r="F7" s="405"/>
      <c r="G7" s="405"/>
      <c r="H7" s="405"/>
      <c r="I7" s="405"/>
      <c r="J7" s="406"/>
      <c r="K7" s="407" t="s">
        <v>107</v>
      </c>
      <c r="L7" s="408"/>
      <c r="Q7" s="397" t="s">
        <v>152</v>
      </c>
      <c r="R7" s="397"/>
      <c r="S7" s="398"/>
      <c r="T7" s="399" t="s">
        <v>153</v>
      </c>
      <c r="U7" s="397"/>
      <c r="V7" s="398"/>
    </row>
    <row r="8" spans="1:25" ht="13">
      <c r="A8" s="164" t="s">
        <v>46</v>
      </c>
      <c r="B8" s="108" t="s">
        <v>47</v>
      </c>
      <c r="C8" s="108" t="s">
        <v>88</v>
      </c>
      <c r="D8" s="109" t="s">
        <v>89</v>
      </c>
      <c r="E8" s="409" t="s">
        <v>90</v>
      </c>
      <c r="F8" s="410"/>
      <c r="G8" s="410"/>
      <c r="H8" s="410"/>
      <c r="I8" s="410"/>
      <c r="J8" s="411"/>
      <c r="K8" s="410" t="s">
        <v>91</v>
      </c>
      <c r="L8" s="410"/>
      <c r="Q8" s="144" t="s">
        <v>154</v>
      </c>
      <c r="R8" s="145" t="s">
        <v>155</v>
      </c>
      <c r="S8" s="150" t="s">
        <v>156</v>
      </c>
      <c r="T8" s="151" t="s">
        <v>154</v>
      </c>
      <c r="U8" s="146" t="s">
        <v>155</v>
      </c>
      <c r="V8" s="150" t="s">
        <v>156</v>
      </c>
    </row>
    <row r="9" spans="1:25">
      <c r="A9" s="129"/>
      <c r="B9" s="77"/>
      <c r="C9" s="134"/>
      <c r="D9" s="135"/>
      <c r="E9" s="421"/>
      <c r="F9" s="422"/>
      <c r="G9" s="422"/>
      <c r="H9" s="422"/>
      <c r="I9" s="422"/>
      <c r="J9" s="423"/>
      <c r="K9" s="391"/>
      <c r="L9" s="392"/>
      <c r="N9" s="133"/>
      <c r="Q9" s="77"/>
      <c r="R9" s="77"/>
      <c r="S9" s="281"/>
      <c r="T9" s="152"/>
      <c r="U9" s="77">
        <f>'Well Data'!$F$45-V9</f>
        <v>688.9</v>
      </c>
      <c r="V9" s="153"/>
      <c r="W9" s="147"/>
    </row>
    <row r="10" spans="1:25">
      <c r="A10" s="129"/>
      <c r="B10" s="77"/>
      <c r="C10" s="134"/>
      <c r="D10" s="135"/>
      <c r="E10" s="428"/>
      <c r="F10" s="429"/>
      <c r="G10" s="429"/>
      <c r="H10" s="429"/>
      <c r="I10" s="429"/>
      <c r="J10" s="430"/>
      <c r="K10" s="391"/>
      <c r="L10" s="392"/>
      <c r="N10" s="133"/>
      <c r="Q10" s="77"/>
      <c r="R10" s="77"/>
      <c r="S10" s="281"/>
      <c r="T10" s="152"/>
      <c r="U10" s="77">
        <f>'Well Data'!$F$45-V10</f>
        <v>688.9</v>
      </c>
      <c r="V10" s="153"/>
      <c r="W10" s="147"/>
    </row>
    <row r="11" spans="1:25">
      <c r="A11" s="129"/>
      <c r="B11" s="77"/>
      <c r="C11" s="134"/>
      <c r="D11" s="135"/>
      <c r="E11" s="421"/>
      <c r="F11" s="422"/>
      <c r="G11" s="422"/>
      <c r="H11" s="422"/>
      <c r="I11" s="422"/>
      <c r="J11" s="423"/>
      <c r="K11" s="391"/>
      <c r="L11" s="392"/>
      <c r="N11" s="133"/>
      <c r="Q11" s="77"/>
      <c r="R11" s="77"/>
      <c r="S11" s="281"/>
      <c r="T11" s="152"/>
      <c r="U11" s="77">
        <f>'Well Data'!$F$45-V11</f>
        <v>688.9</v>
      </c>
      <c r="V11" s="153"/>
      <c r="W11" s="147"/>
    </row>
    <row r="12" spans="1:25">
      <c r="A12" s="129"/>
      <c r="B12" s="77"/>
      <c r="C12" s="134"/>
      <c r="D12" s="135"/>
      <c r="E12" s="421"/>
      <c r="F12" s="422"/>
      <c r="G12" s="422"/>
      <c r="H12" s="422"/>
      <c r="I12" s="422"/>
      <c r="J12" s="423"/>
      <c r="K12" s="391"/>
      <c r="L12" s="392"/>
      <c r="N12" s="133"/>
      <c r="Q12" s="77"/>
      <c r="R12" s="77"/>
      <c r="S12" s="281"/>
      <c r="T12" s="152"/>
      <c r="U12" s="77">
        <f>'Well Data'!$F$45-V12</f>
        <v>688.9</v>
      </c>
      <c r="V12" s="153"/>
      <c r="W12" s="147"/>
    </row>
    <row r="13" spans="1:25">
      <c r="A13" s="129"/>
      <c r="B13" s="77"/>
      <c r="C13" s="134"/>
      <c r="D13" s="135"/>
      <c r="E13" s="421"/>
      <c r="F13" s="422"/>
      <c r="G13" s="422"/>
      <c r="H13" s="422"/>
      <c r="I13" s="422"/>
      <c r="J13" s="423"/>
      <c r="K13" s="391"/>
      <c r="L13" s="392"/>
      <c r="N13" s="133"/>
      <c r="Q13" s="77"/>
      <c r="R13" s="77"/>
      <c r="S13" s="281"/>
      <c r="T13" s="152"/>
      <c r="U13" s="77">
        <f>'Well Data'!$F$45-V13</f>
        <v>688.9</v>
      </c>
      <c r="V13" s="153"/>
      <c r="W13" s="147"/>
    </row>
    <row r="14" spans="1:25">
      <c r="A14" s="129"/>
      <c r="B14" s="77"/>
      <c r="C14" s="134"/>
      <c r="D14" s="135"/>
      <c r="E14" s="421"/>
      <c r="F14" s="422"/>
      <c r="G14" s="422"/>
      <c r="H14" s="422"/>
      <c r="I14" s="422"/>
      <c r="J14" s="423"/>
      <c r="K14" s="391"/>
      <c r="L14" s="392"/>
      <c r="N14" s="133"/>
      <c r="Q14" s="77"/>
      <c r="R14" s="77"/>
      <c r="S14" s="281"/>
      <c r="T14" s="152"/>
      <c r="U14" s="77">
        <f>'Well Data'!$F$45-V14</f>
        <v>688.9</v>
      </c>
      <c r="V14" s="153"/>
      <c r="W14" s="148"/>
    </row>
    <row r="15" spans="1:25">
      <c r="A15" s="129"/>
      <c r="B15" s="77"/>
      <c r="C15" s="134"/>
      <c r="D15" s="135"/>
      <c r="E15" s="421"/>
      <c r="F15" s="422"/>
      <c r="G15" s="422"/>
      <c r="H15" s="422"/>
      <c r="I15" s="422"/>
      <c r="J15" s="423"/>
      <c r="K15" s="391"/>
      <c r="L15" s="392"/>
      <c r="N15" s="133"/>
      <c r="Q15" s="77"/>
      <c r="R15" s="77"/>
      <c r="S15" s="281"/>
      <c r="T15" s="152"/>
      <c r="U15" s="77">
        <f>'Well Data'!$F$45-V15</f>
        <v>688.9</v>
      </c>
      <c r="V15" s="153"/>
      <c r="W15" s="147"/>
    </row>
    <row r="16" spans="1:25">
      <c r="A16" s="129"/>
      <c r="B16" s="77"/>
      <c r="C16" s="134"/>
      <c r="D16" s="135"/>
      <c r="E16" s="421"/>
      <c r="F16" s="422"/>
      <c r="G16" s="422"/>
      <c r="H16" s="422"/>
      <c r="I16" s="422"/>
      <c r="J16" s="423"/>
      <c r="K16" s="391"/>
      <c r="L16" s="392"/>
      <c r="N16" s="133"/>
      <c r="Q16" s="77"/>
      <c r="R16" s="77"/>
      <c r="S16" s="281"/>
      <c r="T16" s="152"/>
      <c r="U16" s="77">
        <f>'Well Data'!$F$45-V16</f>
        <v>688.9</v>
      </c>
      <c r="V16" s="153"/>
      <c r="W16" s="147"/>
    </row>
    <row r="17" spans="1:23">
      <c r="A17" s="129"/>
      <c r="B17" s="77"/>
      <c r="C17" s="134"/>
      <c r="D17" s="135"/>
      <c r="E17" s="421"/>
      <c r="F17" s="422"/>
      <c r="G17" s="422"/>
      <c r="H17" s="422"/>
      <c r="I17" s="422"/>
      <c r="J17" s="423"/>
      <c r="K17" s="391"/>
      <c r="L17" s="392"/>
      <c r="N17" s="133"/>
      <c r="Q17" s="77"/>
      <c r="R17" s="77"/>
      <c r="S17" s="281"/>
      <c r="T17" s="152"/>
      <c r="U17" s="77">
        <f>'Well Data'!$F$45-V17</f>
        <v>688.9</v>
      </c>
      <c r="V17" s="153"/>
      <c r="W17" s="147"/>
    </row>
    <row r="18" spans="1:23">
      <c r="A18" s="129"/>
      <c r="B18" s="77"/>
      <c r="C18" s="134"/>
      <c r="D18" s="135"/>
      <c r="E18" s="421"/>
      <c r="F18" s="422"/>
      <c r="G18" s="422"/>
      <c r="H18" s="422"/>
      <c r="I18" s="422"/>
      <c r="J18" s="423"/>
      <c r="K18" s="391"/>
      <c r="L18" s="392"/>
      <c r="N18" s="133"/>
      <c r="Q18" s="77"/>
      <c r="R18" s="77"/>
      <c r="S18" s="281"/>
      <c r="T18" s="152"/>
      <c r="U18" s="77">
        <f>'Well Data'!$F$45-V18</f>
        <v>688.9</v>
      </c>
      <c r="V18" s="153"/>
      <c r="W18" s="147"/>
    </row>
    <row r="19" spans="1:23">
      <c r="A19" s="129"/>
      <c r="B19" s="77"/>
      <c r="C19" s="134"/>
      <c r="D19" s="135"/>
      <c r="E19" s="421"/>
      <c r="F19" s="422"/>
      <c r="G19" s="422"/>
      <c r="H19" s="422"/>
      <c r="I19" s="422"/>
      <c r="J19" s="423"/>
      <c r="K19" s="391"/>
      <c r="L19" s="392"/>
      <c r="N19" s="133"/>
      <c r="Q19" s="77"/>
      <c r="R19" s="77"/>
      <c r="S19" s="281"/>
      <c r="T19" s="152"/>
      <c r="U19" s="77">
        <f>'Well Data'!$F$45-V19</f>
        <v>688.9</v>
      </c>
      <c r="V19" s="153"/>
      <c r="W19" s="147"/>
    </row>
    <row r="20" spans="1:23">
      <c r="A20" s="129"/>
      <c r="B20" s="77"/>
      <c r="C20" s="134"/>
      <c r="D20" s="135"/>
      <c r="E20" s="421"/>
      <c r="F20" s="422"/>
      <c r="G20" s="422"/>
      <c r="H20" s="422"/>
      <c r="I20" s="422"/>
      <c r="J20" s="423"/>
      <c r="K20" s="391"/>
      <c r="L20" s="392"/>
      <c r="N20" s="133"/>
      <c r="Q20" s="77"/>
      <c r="R20" s="77"/>
      <c r="S20" s="281"/>
      <c r="T20" s="152"/>
      <c r="U20" s="77">
        <f>'Well Data'!$F$45-V20</f>
        <v>688.9</v>
      </c>
      <c r="V20" s="153"/>
      <c r="W20" s="147"/>
    </row>
    <row r="21" spans="1:23">
      <c r="A21" s="129" t="str">
        <f t="shared" ref="A21:A28" si="0">IF(B20=0, "", B20)</f>
        <v/>
      </c>
      <c r="B21" s="77"/>
      <c r="C21" s="134"/>
      <c r="D21" s="135"/>
      <c r="E21" s="421"/>
      <c r="F21" s="422"/>
      <c r="G21" s="422"/>
      <c r="H21" s="422"/>
      <c r="I21" s="422"/>
      <c r="J21" s="423"/>
      <c r="K21" s="391"/>
      <c r="L21" s="392"/>
      <c r="N21" s="133"/>
      <c r="Q21" s="77"/>
      <c r="R21" s="77"/>
      <c r="S21" s="154"/>
      <c r="T21" s="152"/>
      <c r="U21" s="77">
        <f>'Well Data'!$F$45-V21</f>
        <v>688.9</v>
      </c>
      <c r="V21" s="153"/>
      <c r="W21" s="147"/>
    </row>
    <row r="22" spans="1:23">
      <c r="A22" s="129" t="str">
        <f t="shared" si="0"/>
        <v/>
      </c>
      <c r="B22" s="77"/>
      <c r="C22" s="134"/>
      <c r="D22" s="135"/>
      <c r="E22" s="421"/>
      <c r="F22" s="422"/>
      <c r="G22" s="422"/>
      <c r="H22" s="422"/>
      <c r="I22" s="422"/>
      <c r="J22" s="423"/>
      <c r="K22" s="391"/>
      <c r="L22" s="392"/>
      <c r="N22" s="133"/>
      <c r="Q22" s="77"/>
      <c r="R22" s="77"/>
      <c r="S22" s="154"/>
      <c r="T22" s="152"/>
      <c r="U22" s="77">
        <f>'Well Data'!$F$45-V22</f>
        <v>688.9</v>
      </c>
      <c r="V22" s="153"/>
      <c r="W22" s="147"/>
    </row>
    <row r="23" spans="1:23">
      <c r="A23" s="129" t="str">
        <f t="shared" si="0"/>
        <v/>
      </c>
      <c r="B23" s="77"/>
      <c r="C23" s="134"/>
      <c r="D23" s="135"/>
      <c r="E23" s="421"/>
      <c r="F23" s="422"/>
      <c r="G23" s="422"/>
      <c r="H23" s="422"/>
      <c r="I23" s="422"/>
      <c r="J23" s="423"/>
      <c r="K23" s="391"/>
      <c r="L23" s="392"/>
      <c r="N23" s="133"/>
      <c r="Q23" s="77"/>
      <c r="R23" s="77"/>
      <c r="S23" s="154"/>
      <c r="T23" s="152"/>
      <c r="U23" s="77">
        <f>'Well Data'!$F$45-V23</f>
        <v>688.9</v>
      </c>
      <c r="V23" s="153"/>
      <c r="W23" s="147"/>
    </row>
    <row r="24" spans="1:23">
      <c r="A24" s="129" t="str">
        <f t="shared" si="0"/>
        <v/>
      </c>
      <c r="B24" s="77"/>
      <c r="C24" s="134"/>
      <c r="D24" s="135"/>
      <c r="E24" s="421"/>
      <c r="F24" s="422"/>
      <c r="G24" s="422"/>
      <c r="H24" s="422"/>
      <c r="I24" s="422"/>
      <c r="J24" s="423"/>
      <c r="K24" s="391"/>
      <c r="L24" s="392"/>
      <c r="N24" s="133"/>
      <c r="Q24" s="77"/>
      <c r="R24" s="77"/>
      <c r="S24" s="154"/>
      <c r="T24" s="152"/>
      <c r="U24" s="77">
        <f>'Well Data'!$F$45-V24</f>
        <v>688.9</v>
      </c>
      <c r="V24" s="153"/>
      <c r="W24" s="147"/>
    </row>
    <row r="25" spans="1:23">
      <c r="A25" s="129" t="str">
        <f t="shared" si="0"/>
        <v/>
      </c>
      <c r="B25" s="77"/>
      <c r="C25" s="134"/>
      <c r="D25" s="135"/>
      <c r="E25" s="421"/>
      <c r="F25" s="422"/>
      <c r="G25" s="422"/>
      <c r="H25" s="422"/>
      <c r="I25" s="422"/>
      <c r="J25" s="423"/>
      <c r="K25" s="391"/>
      <c r="L25" s="392"/>
      <c r="N25" s="133"/>
      <c r="Q25" s="77"/>
      <c r="R25" s="77"/>
      <c r="S25" s="154"/>
      <c r="T25" s="152"/>
      <c r="U25" s="77">
        <f>'Well Data'!$F$45-V25</f>
        <v>688.9</v>
      </c>
      <c r="V25" s="153"/>
      <c r="W25" s="147"/>
    </row>
    <row r="26" spans="1:23">
      <c r="A26" s="129" t="str">
        <f t="shared" si="0"/>
        <v/>
      </c>
      <c r="B26" s="77"/>
      <c r="C26" s="134"/>
      <c r="D26" s="135"/>
      <c r="E26" s="428"/>
      <c r="F26" s="429"/>
      <c r="G26" s="429"/>
      <c r="H26" s="429"/>
      <c r="I26" s="429"/>
      <c r="J26" s="430"/>
      <c r="K26" s="391"/>
      <c r="L26" s="392"/>
      <c r="N26" s="133"/>
      <c r="Q26" s="155"/>
      <c r="R26" s="77"/>
      <c r="S26" s="154"/>
      <c r="T26" s="156"/>
      <c r="U26" s="77">
        <f>'Well Data'!$F$45-V26</f>
        <v>688.9</v>
      </c>
      <c r="V26" s="154"/>
    </row>
    <row r="27" spans="1:23">
      <c r="A27" s="129" t="str">
        <f t="shared" si="0"/>
        <v/>
      </c>
      <c r="B27" s="77"/>
      <c r="C27" s="134"/>
      <c r="D27" s="135"/>
      <c r="E27" s="428"/>
      <c r="F27" s="429"/>
      <c r="G27" s="429"/>
      <c r="H27" s="429"/>
      <c r="I27" s="429"/>
      <c r="J27" s="430"/>
      <c r="K27" s="414"/>
      <c r="L27" s="417"/>
      <c r="N27" s="133"/>
      <c r="Q27" s="155"/>
      <c r="R27" s="77"/>
      <c r="S27" s="154"/>
      <c r="T27" s="156"/>
      <c r="U27" s="77">
        <f>'Well Data'!$F$45-V27</f>
        <v>688.9</v>
      </c>
      <c r="V27" s="154"/>
    </row>
    <row r="28" spans="1:23">
      <c r="A28" s="129" t="str">
        <f t="shared" si="0"/>
        <v/>
      </c>
      <c r="B28" s="77"/>
      <c r="C28" s="134"/>
      <c r="D28" s="135"/>
      <c r="E28" s="421"/>
      <c r="F28" s="422"/>
      <c r="G28" s="422"/>
      <c r="H28" s="422"/>
      <c r="I28" s="422"/>
      <c r="J28" s="423"/>
      <c r="K28" s="391"/>
      <c r="L28" s="392"/>
      <c r="Q28" s="155"/>
      <c r="R28" s="77"/>
      <c r="S28" s="154"/>
      <c r="T28" s="156"/>
      <c r="U28" s="77">
        <f>'Well Data'!$F$45-V28</f>
        <v>688.9</v>
      </c>
      <c r="V28" s="154"/>
    </row>
    <row r="29" spans="1:23">
      <c r="A29" s="129"/>
      <c r="B29" s="77"/>
      <c r="C29" s="134"/>
      <c r="D29" s="135"/>
      <c r="E29" s="421"/>
      <c r="F29" s="422"/>
      <c r="G29" s="422"/>
      <c r="H29" s="422"/>
      <c r="I29" s="422"/>
      <c r="J29" s="423"/>
      <c r="K29" s="391"/>
      <c r="L29" s="392"/>
      <c r="Q29" s="155"/>
      <c r="R29" s="77"/>
      <c r="S29" s="154"/>
      <c r="T29" s="156"/>
      <c r="U29" s="77">
        <f>'Well Data'!$F$45-V29</f>
        <v>688.9</v>
      </c>
      <c r="V29" s="154"/>
    </row>
    <row r="30" spans="1:23" ht="13">
      <c r="A30" s="386" t="s">
        <v>97</v>
      </c>
      <c r="B30" s="387"/>
      <c r="C30" s="387"/>
      <c r="D30" s="387"/>
      <c r="E30" s="387"/>
      <c r="F30" s="387"/>
      <c r="G30" s="387"/>
      <c r="H30" s="387"/>
      <c r="I30" s="387"/>
      <c r="J30" s="387"/>
      <c r="K30" s="387"/>
      <c r="L30" s="387"/>
    </row>
    <row r="31" spans="1:23">
      <c r="A31" s="110">
        <v>5</v>
      </c>
      <c r="B31" s="383"/>
      <c r="C31" s="384"/>
      <c r="D31" s="384"/>
      <c r="E31" s="384"/>
      <c r="F31" s="384"/>
      <c r="G31" s="384"/>
      <c r="H31" s="384"/>
      <c r="I31" s="384"/>
      <c r="J31" s="384"/>
      <c r="K31" s="384"/>
      <c r="L31" s="385"/>
    </row>
    <row r="32" spans="1:23">
      <c r="A32" s="110">
        <v>4</v>
      </c>
      <c r="B32" s="383"/>
      <c r="C32" s="384"/>
      <c r="D32" s="384"/>
      <c r="E32" s="384"/>
      <c r="F32" s="384"/>
      <c r="G32" s="384"/>
      <c r="H32" s="384"/>
      <c r="I32" s="384"/>
      <c r="J32" s="384"/>
      <c r="K32" s="384"/>
      <c r="L32" s="385"/>
    </row>
    <row r="33" spans="1:12" ht="12.75" customHeight="1">
      <c r="A33" s="110">
        <v>3</v>
      </c>
      <c r="B33" s="383"/>
      <c r="C33" s="384"/>
      <c r="D33" s="384"/>
      <c r="E33" s="384"/>
      <c r="F33" s="384"/>
      <c r="G33" s="384"/>
      <c r="H33" s="384"/>
      <c r="I33" s="384"/>
      <c r="J33" s="384"/>
      <c r="K33" s="384"/>
      <c r="L33" s="385"/>
    </row>
    <row r="34" spans="1:12" ht="12.75" customHeight="1">
      <c r="A34" s="110">
        <v>2</v>
      </c>
      <c r="B34" s="383"/>
      <c r="C34" s="384"/>
      <c r="D34" s="384"/>
      <c r="E34" s="384"/>
      <c r="F34" s="384"/>
      <c r="G34" s="384"/>
      <c r="H34" s="384"/>
      <c r="I34" s="384"/>
      <c r="J34" s="384"/>
      <c r="K34" s="384"/>
      <c r="L34" s="385"/>
    </row>
    <row r="35" spans="1:12" ht="12.75" customHeight="1">
      <c r="A35" s="110">
        <v>1</v>
      </c>
      <c r="B35" s="383"/>
      <c r="C35" s="384"/>
      <c r="D35" s="384"/>
      <c r="E35" s="384"/>
      <c r="F35" s="384"/>
      <c r="G35" s="384"/>
      <c r="H35" s="384"/>
      <c r="I35" s="384"/>
      <c r="J35" s="384"/>
      <c r="K35" s="384"/>
      <c r="L35" s="385"/>
    </row>
    <row r="36" spans="1:12" ht="12.75" customHeight="1">
      <c r="A36" s="110">
        <v>0</v>
      </c>
      <c r="B36" s="383"/>
      <c r="C36" s="384"/>
      <c r="D36" s="384"/>
      <c r="E36" s="384"/>
      <c r="F36" s="384"/>
      <c r="G36" s="384"/>
      <c r="H36" s="384"/>
      <c r="I36" s="384"/>
      <c r="J36" s="384"/>
      <c r="K36" s="384"/>
      <c r="L36" s="385"/>
    </row>
    <row r="37" spans="1:12" ht="12.75" customHeight="1">
      <c r="A37" s="381"/>
      <c r="B37" s="382"/>
      <c r="C37" s="382"/>
      <c r="D37" s="382"/>
      <c r="E37" s="382"/>
      <c r="F37" s="382"/>
      <c r="G37" s="382"/>
      <c r="H37" s="382"/>
      <c r="I37" s="382"/>
      <c r="J37" s="382"/>
      <c r="K37" s="382"/>
      <c r="L37" s="382"/>
    </row>
    <row r="38" spans="1:12" ht="12.75" customHeight="1">
      <c r="A38" s="387" t="s">
        <v>161</v>
      </c>
      <c r="B38" s="387"/>
      <c r="C38" s="387"/>
      <c r="D38" s="387"/>
      <c r="E38" s="387"/>
      <c r="F38" s="387"/>
      <c r="G38" s="387"/>
      <c r="H38" s="387"/>
      <c r="I38" s="387"/>
      <c r="J38" s="387"/>
      <c r="K38" s="387"/>
      <c r="L38" s="387"/>
    </row>
    <row r="39" spans="1:12" ht="12.75" customHeight="1">
      <c r="A39" s="394"/>
      <c r="B39" s="394"/>
      <c r="C39" s="394"/>
      <c r="D39" s="394"/>
      <c r="E39" s="394"/>
      <c r="F39" s="394"/>
      <c r="G39" s="394"/>
      <c r="H39" s="394"/>
      <c r="I39" s="394"/>
      <c r="J39" s="394"/>
      <c r="K39" s="394"/>
      <c r="L39" s="394"/>
    </row>
    <row r="40" spans="1:12">
      <c r="A40" s="395"/>
      <c r="B40" s="395"/>
      <c r="C40" s="395"/>
      <c r="D40" s="395"/>
      <c r="E40" s="395"/>
      <c r="F40" s="395"/>
      <c r="G40" s="395"/>
      <c r="H40" s="395"/>
      <c r="I40" s="395"/>
      <c r="J40" s="395"/>
      <c r="K40" s="395"/>
      <c r="L40" s="395"/>
    </row>
    <row r="41" spans="1:12">
      <c r="A41" s="384"/>
      <c r="B41" s="384"/>
      <c r="C41" s="384"/>
      <c r="D41" s="384"/>
      <c r="E41" s="384"/>
      <c r="F41" s="384"/>
      <c r="G41" s="384"/>
      <c r="H41" s="384"/>
      <c r="I41" s="384"/>
      <c r="J41" s="384"/>
      <c r="K41" s="384"/>
      <c r="L41" s="384"/>
    </row>
    <row r="42" spans="1:12" ht="12.75" customHeight="1">
      <c r="A42" s="384"/>
      <c r="B42" s="384"/>
      <c r="C42" s="384"/>
      <c r="D42" s="384"/>
      <c r="E42" s="384"/>
      <c r="F42" s="384"/>
      <c r="G42" s="384"/>
      <c r="H42" s="384"/>
      <c r="I42" s="384"/>
      <c r="J42" s="384"/>
      <c r="K42" s="384"/>
      <c r="L42" s="384"/>
    </row>
    <row r="43" spans="1:12" ht="12.75" customHeight="1">
      <c r="A43" s="384"/>
      <c r="B43" s="384"/>
      <c r="C43" s="384"/>
      <c r="D43" s="384"/>
      <c r="E43" s="384"/>
      <c r="F43" s="384"/>
      <c r="G43" s="384"/>
      <c r="H43" s="384"/>
      <c r="I43" s="384"/>
      <c r="J43" s="384"/>
      <c r="K43" s="384"/>
      <c r="L43" s="384"/>
    </row>
    <row r="44" spans="1:12" ht="12.75" customHeight="1">
      <c r="A44" s="384"/>
      <c r="B44" s="384"/>
      <c r="C44" s="384"/>
      <c r="D44" s="384"/>
      <c r="E44" s="384"/>
      <c r="F44" s="384"/>
      <c r="G44" s="384"/>
      <c r="H44" s="384"/>
      <c r="I44" s="384"/>
      <c r="J44" s="384"/>
      <c r="K44" s="384"/>
      <c r="L44" s="384"/>
    </row>
    <row r="45" spans="1:12" ht="12.75" customHeight="1">
      <c r="A45" s="393"/>
      <c r="B45" s="393"/>
      <c r="C45" s="393"/>
      <c r="D45" s="393"/>
      <c r="E45" s="393"/>
      <c r="F45" s="393"/>
      <c r="G45" s="393"/>
      <c r="H45" s="393"/>
      <c r="I45" s="393"/>
      <c r="J45" s="393"/>
      <c r="K45" s="393"/>
      <c r="L45" s="393"/>
    </row>
    <row r="46" spans="1:12" ht="12.75" customHeight="1"/>
    <row r="47" spans="1:12" ht="12.75" customHeight="1"/>
    <row r="48" spans="1:12" ht="12.75" customHeight="1"/>
    <row r="49" ht="12.75" customHeight="1"/>
  </sheetData>
  <sheetProtection formatCells="0"/>
  <mergeCells count="73">
    <mergeCell ref="A1:L1"/>
    <mergeCell ref="A2:L2"/>
    <mergeCell ref="A3:L3"/>
    <mergeCell ref="A4:L4"/>
    <mergeCell ref="A5:L5"/>
    <mergeCell ref="Q6:V6"/>
    <mergeCell ref="A7:B7"/>
    <mergeCell ref="C7:D7"/>
    <mergeCell ref="E7:J7"/>
    <mergeCell ref="K7:L7"/>
    <mergeCell ref="Q7:S7"/>
    <mergeCell ref="T7:V7"/>
    <mergeCell ref="A6:L6"/>
    <mergeCell ref="E8:J8"/>
    <mergeCell ref="K8:L8"/>
    <mergeCell ref="E9:J9"/>
    <mergeCell ref="K9:L9"/>
    <mergeCell ref="E10:J10"/>
    <mergeCell ref="K10:L10"/>
    <mergeCell ref="E11:J11"/>
    <mergeCell ref="K11:L11"/>
    <mergeCell ref="E12:J12"/>
    <mergeCell ref="K12:L12"/>
    <mergeCell ref="E13:J13"/>
    <mergeCell ref="K13:L13"/>
    <mergeCell ref="E14:J14"/>
    <mergeCell ref="K14:L14"/>
    <mergeCell ref="E15:J15"/>
    <mergeCell ref="K15:L15"/>
    <mergeCell ref="E16:J16"/>
    <mergeCell ref="K16:L16"/>
    <mergeCell ref="E17:J17"/>
    <mergeCell ref="K17:L17"/>
    <mergeCell ref="E18:J18"/>
    <mergeCell ref="K18:L18"/>
    <mergeCell ref="E19:J19"/>
    <mergeCell ref="K19:L19"/>
    <mergeCell ref="E20:J20"/>
    <mergeCell ref="K20:L20"/>
    <mergeCell ref="E21:J21"/>
    <mergeCell ref="K21:L21"/>
    <mergeCell ref="E22:J22"/>
    <mergeCell ref="K22:L22"/>
    <mergeCell ref="E23:J23"/>
    <mergeCell ref="K23:L23"/>
    <mergeCell ref="E24:J24"/>
    <mergeCell ref="K24:L24"/>
    <mergeCell ref="E25:J25"/>
    <mergeCell ref="K25:L25"/>
    <mergeCell ref="B33:L33"/>
    <mergeCell ref="E26:J26"/>
    <mergeCell ref="K26:L26"/>
    <mergeCell ref="E27:J27"/>
    <mergeCell ref="K27:L27"/>
    <mergeCell ref="E28:J28"/>
    <mergeCell ref="K28:L28"/>
    <mergeCell ref="E29:J29"/>
    <mergeCell ref="K29:L29"/>
    <mergeCell ref="A30:L30"/>
    <mergeCell ref="B31:L31"/>
    <mergeCell ref="B32:L32"/>
    <mergeCell ref="A45:L45"/>
    <mergeCell ref="B34:L34"/>
    <mergeCell ref="B35:L35"/>
    <mergeCell ref="B36:L36"/>
    <mergeCell ref="A37:L37"/>
    <mergeCell ref="A38:L38"/>
    <mergeCell ref="A39:L39"/>
    <mergeCell ref="A40:L40"/>
    <mergeCell ref="A41:L41"/>
    <mergeCell ref="A42:L42"/>
    <mergeCell ref="A43:L43"/>
    <mergeCell ref="A44:L44"/>
  </mergeCells>
  <conditionalFormatting sqref="A31:A36">
    <cfRule type="containsText" dxfId="204" priority="85" stopIfTrue="1" operator="containsText" text="0">
      <formula>NOT(ISERROR(SEARCH("0",A31)))</formula>
    </cfRule>
    <cfRule type="containsText" dxfId="203" priority="86" stopIfTrue="1" operator="containsText" text="1">
      <formula>NOT(ISERROR(SEARCH("1",A31)))</formula>
    </cfRule>
    <cfRule type="containsText" dxfId="202" priority="87" stopIfTrue="1" operator="containsText" text="2">
      <formula>NOT(ISERROR(SEARCH("2",A31)))</formula>
    </cfRule>
    <cfRule type="containsText" dxfId="201" priority="88" stopIfTrue="1" operator="containsText" text="3">
      <formula>NOT(ISERROR(SEARCH("3",A31)))</formula>
    </cfRule>
    <cfRule type="containsText" dxfId="200" priority="89" stopIfTrue="1" operator="containsText" text="4">
      <formula>NOT(ISERROR(SEARCH("4",A31)))</formula>
    </cfRule>
    <cfRule type="containsText" dxfId="199" priority="90" stopIfTrue="1" operator="containsText" text="5">
      <formula>NOT(ISERROR(SEARCH("5",A31)))</formula>
    </cfRule>
  </conditionalFormatting>
  <conditionalFormatting sqref="K10:L10">
    <cfRule type="containsText" dxfId="198" priority="43" stopIfTrue="1" operator="containsText" text="0">
      <formula>NOT(ISERROR(SEARCH("0",K10)))</formula>
    </cfRule>
    <cfRule type="containsText" dxfId="197" priority="44" stopIfTrue="1" operator="containsText" text="1">
      <formula>NOT(ISERROR(SEARCH("1",K10)))</formula>
    </cfRule>
    <cfRule type="containsText" dxfId="196" priority="45" stopIfTrue="1" operator="containsText" text="2">
      <formula>NOT(ISERROR(SEARCH("2",K10)))</formula>
    </cfRule>
    <cfRule type="containsText" dxfId="195" priority="46" stopIfTrue="1" operator="containsText" text="3">
      <formula>NOT(ISERROR(SEARCH("3",K10)))</formula>
    </cfRule>
    <cfRule type="containsText" dxfId="194" priority="47" stopIfTrue="1" operator="containsText" text="4">
      <formula>NOT(ISERROR(SEARCH("4",K10)))</formula>
    </cfRule>
    <cfRule type="containsText" dxfId="193" priority="48" stopIfTrue="1" operator="containsText" text="5">
      <formula>NOT(ISERROR(SEARCH("5",K10)))</formula>
    </cfRule>
  </conditionalFormatting>
  <conditionalFormatting sqref="K28:L28">
    <cfRule type="containsText" dxfId="192" priority="73" stopIfTrue="1" operator="containsText" text="0">
      <formula>NOT(ISERROR(SEARCH("0",K28)))</formula>
    </cfRule>
    <cfRule type="containsText" dxfId="191" priority="74" stopIfTrue="1" operator="containsText" text="1">
      <formula>NOT(ISERROR(SEARCH("1",K28)))</formula>
    </cfRule>
    <cfRule type="containsText" dxfId="190" priority="75" stopIfTrue="1" operator="containsText" text="2">
      <formula>NOT(ISERROR(SEARCH("2",K28)))</formula>
    </cfRule>
    <cfRule type="containsText" dxfId="189" priority="76" stopIfTrue="1" operator="containsText" text="3">
      <formula>NOT(ISERROR(SEARCH("3",K28)))</formula>
    </cfRule>
    <cfRule type="containsText" dxfId="188" priority="77" stopIfTrue="1" operator="containsText" text="4">
      <formula>NOT(ISERROR(SEARCH("4",K28)))</formula>
    </cfRule>
    <cfRule type="containsText" dxfId="187" priority="78" stopIfTrue="1" operator="containsText" text="5">
      <formula>NOT(ISERROR(SEARCH("5",K28)))</formula>
    </cfRule>
  </conditionalFormatting>
  <conditionalFormatting sqref="K29:L29">
    <cfRule type="containsText" dxfId="186" priority="79" stopIfTrue="1" operator="containsText" text="0">
      <formula>NOT(ISERROR(SEARCH("0",K29)))</formula>
    </cfRule>
    <cfRule type="containsText" dxfId="185" priority="80" stopIfTrue="1" operator="containsText" text="1">
      <formula>NOT(ISERROR(SEARCH("1",K29)))</formula>
    </cfRule>
    <cfRule type="containsText" dxfId="184" priority="81" stopIfTrue="1" operator="containsText" text="2">
      <formula>NOT(ISERROR(SEARCH("2",K29)))</formula>
    </cfRule>
    <cfRule type="containsText" dxfId="183" priority="82" stopIfTrue="1" operator="containsText" text="3">
      <formula>NOT(ISERROR(SEARCH("3",K29)))</formula>
    </cfRule>
    <cfRule type="containsText" dxfId="182" priority="83" stopIfTrue="1" operator="containsText" text="4">
      <formula>NOT(ISERROR(SEARCH("4",K29)))</formula>
    </cfRule>
    <cfRule type="containsText" dxfId="181" priority="84" stopIfTrue="1" operator="containsText" text="5">
      <formula>NOT(ISERROR(SEARCH("5",K29)))</formula>
    </cfRule>
  </conditionalFormatting>
  <conditionalFormatting sqref="K18:L19">
    <cfRule type="containsText" dxfId="180" priority="61" stopIfTrue="1" operator="containsText" text="0">
      <formula>NOT(ISERROR(SEARCH("0",K18)))</formula>
    </cfRule>
    <cfRule type="containsText" dxfId="179" priority="62" stopIfTrue="1" operator="containsText" text="1">
      <formula>NOT(ISERROR(SEARCH("1",K18)))</formula>
    </cfRule>
    <cfRule type="containsText" dxfId="178" priority="63" stopIfTrue="1" operator="containsText" text="2">
      <formula>NOT(ISERROR(SEARCH("2",K18)))</formula>
    </cfRule>
    <cfRule type="containsText" dxfId="177" priority="64" stopIfTrue="1" operator="containsText" text="3">
      <formula>NOT(ISERROR(SEARCH("3",K18)))</formula>
    </cfRule>
    <cfRule type="containsText" dxfId="176" priority="65" stopIfTrue="1" operator="containsText" text="4">
      <formula>NOT(ISERROR(SEARCH("4",K18)))</formula>
    </cfRule>
    <cfRule type="containsText" dxfId="175" priority="66" stopIfTrue="1" operator="containsText" text="5">
      <formula>NOT(ISERROR(SEARCH("5",K18)))</formula>
    </cfRule>
  </conditionalFormatting>
  <conditionalFormatting sqref="K21:L24">
    <cfRule type="containsText" dxfId="174" priority="55" stopIfTrue="1" operator="containsText" text="0">
      <formula>NOT(ISERROR(SEARCH("0",K21)))</formula>
    </cfRule>
    <cfRule type="containsText" dxfId="173" priority="56" stopIfTrue="1" operator="containsText" text="1">
      <formula>NOT(ISERROR(SEARCH("1",K21)))</formula>
    </cfRule>
    <cfRule type="containsText" dxfId="172" priority="57" stopIfTrue="1" operator="containsText" text="2">
      <formula>NOT(ISERROR(SEARCH("2",K21)))</formula>
    </cfRule>
    <cfRule type="containsText" dxfId="171" priority="58" stopIfTrue="1" operator="containsText" text="3">
      <formula>NOT(ISERROR(SEARCH("3",K21)))</formula>
    </cfRule>
    <cfRule type="containsText" dxfId="170" priority="59" stopIfTrue="1" operator="containsText" text="4">
      <formula>NOT(ISERROR(SEARCH("4",K21)))</formula>
    </cfRule>
    <cfRule type="containsText" dxfId="169" priority="60" stopIfTrue="1" operator="containsText" text="5">
      <formula>NOT(ISERROR(SEARCH("5",K21)))</formula>
    </cfRule>
  </conditionalFormatting>
  <conditionalFormatting sqref="K27 K25:L26">
    <cfRule type="containsText" dxfId="168" priority="31" stopIfTrue="1" operator="containsText" text="0">
      <formula>NOT(ISERROR(SEARCH("0",K25)))</formula>
    </cfRule>
    <cfRule type="containsText" dxfId="167" priority="32" stopIfTrue="1" operator="containsText" text="1">
      <formula>NOT(ISERROR(SEARCH("1",K25)))</formula>
    </cfRule>
    <cfRule type="containsText" dxfId="166" priority="33" stopIfTrue="1" operator="containsText" text="2">
      <formula>NOT(ISERROR(SEARCH("2",K25)))</formula>
    </cfRule>
    <cfRule type="containsText" dxfId="165" priority="34" stopIfTrue="1" operator="containsText" text="3">
      <formula>NOT(ISERROR(SEARCH("3",K25)))</formula>
    </cfRule>
    <cfRule type="containsText" dxfId="164" priority="35" stopIfTrue="1" operator="containsText" text="4">
      <formula>NOT(ISERROR(SEARCH("4",K25)))</formula>
    </cfRule>
    <cfRule type="containsText" dxfId="163" priority="36" stopIfTrue="1" operator="containsText" text="5">
      <formula>NOT(ISERROR(SEARCH("5",K25)))</formula>
    </cfRule>
  </conditionalFormatting>
  <conditionalFormatting sqref="K20:L20">
    <cfRule type="containsText" dxfId="162" priority="67" stopIfTrue="1" operator="containsText" text="0">
      <formula>NOT(ISERROR(SEARCH("0",K20)))</formula>
    </cfRule>
    <cfRule type="containsText" dxfId="161" priority="68" stopIfTrue="1" operator="containsText" text="1">
      <formula>NOT(ISERROR(SEARCH("1",K20)))</formula>
    </cfRule>
    <cfRule type="containsText" dxfId="160" priority="69" stopIfTrue="1" operator="containsText" text="2">
      <formula>NOT(ISERROR(SEARCH("2",K20)))</formula>
    </cfRule>
    <cfRule type="containsText" dxfId="159" priority="70" stopIfTrue="1" operator="containsText" text="3">
      <formula>NOT(ISERROR(SEARCH("3",K20)))</formula>
    </cfRule>
    <cfRule type="containsText" dxfId="158" priority="71" stopIfTrue="1" operator="containsText" text="4">
      <formula>NOT(ISERROR(SEARCH("4",K20)))</formula>
    </cfRule>
    <cfRule type="containsText" dxfId="157" priority="72" stopIfTrue="1" operator="containsText" text="5">
      <formula>NOT(ISERROR(SEARCH("5",K20)))</formula>
    </cfRule>
  </conditionalFormatting>
  <conditionalFormatting sqref="K12:L12 K16:L17">
    <cfRule type="containsText" dxfId="156" priority="37" stopIfTrue="1" operator="containsText" text="0">
      <formula>NOT(ISERROR(SEARCH("0",K12)))</formula>
    </cfRule>
    <cfRule type="containsText" dxfId="155" priority="38" stopIfTrue="1" operator="containsText" text="1">
      <formula>NOT(ISERROR(SEARCH("1",K12)))</formula>
    </cfRule>
    <cfRule type="containsText" dxfId="154" priority="39" stopIfTrue="1" operator="containsText" text="2">
      <formula>NOT(ISERROR(SEARCH("2",K12)))</formula>
    </cfRule>
    <cfRule type="containsText" dxfId="153" priority="40" stopIfTrue="1" operator="containsText" text="3">
      <formula>NOT(ISERROR(SEARCH("3",K12)))</formula>
    </cfRule>
    <cfRule type="containsText" dxfId="152" priority="41" stopIfTrue="1" operator="containsText" text="4">
      <formula>NOT(ISERROR(SEARCH("4",K12)))</formula>
    </cfRule>
    <cfRule type="containsText" dxfId="151" priority="42" stopIfTrue="1" operator="containsText" text="5">
      <formula>NOT(ISERROR(SEARCH("5",K12)))</formula>
    </cfRule>
  </conditionalFormatting>
  <conditionalFormatting sqref="K9:L9">
    <cfRule type="containsText" dxfId="150" priority="25" stopIfTrue="1" operator="containsText" text="0">
      <formula>NOT(ISERROR(SEARCH("0",K9)))</formula>
    </cfRule>
    <cfRule type="containsText" dxfId="149" priority="26" stopIfTrue="1" operator="containsText" text="1">
      <formula>NOT(ISERROR(SEARCH("1",K9)))</formula>
    </cfRule>
    <cfRule type="containsText" dxfId="148" priority="27" stopIfTrue="1" operator="containsText" text="2">
      <formula>NOT(ISERROR(SEARCH("2",K9)))</formula>
    </cfRule>
    <cfRule type="containsText" dxfId="147" priority="28" stopIfTrue="1" operator="containsText" text="3">
      <formula>NOT(ISERROR(SEARCH("3",K9)))</formula>
    </cfRule>
    <cfRule type="containsText" dxfId="146" priority="29" stopIfTrue="1" operator="containsText" text="4">
      <formula>NOT(ISERROR(SEARCH("4",K9)))</formula>
    </cfRule>
    <cfRule type="containsText" dxfId="145" priority="30" stopIfTrue="1" operator="containsText" text="5">
      <formula>NOT(ISERROR(SEARCH("5",K9)))</formula>
    </cfRule>
  </conditionalFormatting>
  <conditionalFormatting sqref="K11:L11">
    <cfRule type="containsText" dxfId="144" priority="19" stopIfTrue="1" operator="containsText" text="0">
      <formula>NOT(ISERROR(SEARCH("0",K11)))</formula>
    </cfRule>
    <cfRule type="containsText" dxfId="143" priority="20" stopIfTrue="1" operator="containsText" text="1">
      <formula>NOT(ISERROR(SEARCH("1",K11)))</formula>
    </cfRule>
    <cfRule type="containsText" dxfId="142" priority="21" stopIfTrue="1" operator="containsText" text="2">
      <formula>NOT(ISERROR(SEARCH("2",K11)))</formula>
    </cfRule>
    <cfRule type="containsText" dxfId="141" priority="22" stopIfTrue="1" operator="containsText" text="3">
      <formula>NOT(ISERROR(SEARCH("3",K11)))</formula>
    </cfRule>
    <cfRule type="containsText" dxfId="140" priority="23" stopIfTrue="1" operator="containsText" text="4">
      <formula>NOT(ISERROR(SEARCH("4",K11)))</formula>
    </cfRule>
    <cfRule type="containsText" dxfId="139" priority="24" stopIfTrue="1" operator="containsText" text="5">
      <formula>NOT(ISERROR(SEARCH("5",K11)))</formula>
    </cfRule>
  </conditionalFormatting>
  <conditionalFormatting sqref="K13:L13">
    <cfRule type="containsText" dxfId="138" priority="13" stopIfTrue="1" operator="containsText" text="0">
      <formula>NOT(ISERROR(SEARCH("0",K13)))</formula>
    </cfRule>
    <cfRule type="containsText" dxfId="137" priority="14" stopIfTrue="1" operator="containsText" text="1">
      <formula>NOT(ISERROR(SEARCH("1",K13)))</formula>
    </cfRule>
    <cfRule type="containsText" dxfId="136" priority="15" stopIfTrue="1" operator="containsText" text="2">
      <formula>NOT(ISERROR(SEARCH("2",K13)))</formula>
    </cfRule>
    <cfRule type="containsText" dxfId="135" priority="16" stopIfTrue="1" operator="containsText" text="3">
      <formula>NOT(ISERROR(SEARCH("3",K13)))</formula>
    </cfRule>
    <cfRule type="containsText" dxfId="134" priority="17" stopIfTrue="1" operator="containsText" text="4">
      <formula>NOT(ISERROR(SEARCH("4",K13)))</formula>
    </cfRule>
    <cfRule type="containsText" dxfId="133" priority="18" stopIfTrue="1" operator="containsText" text="5">
      <formula>NOT(ISERROR(SEARCH("5",K13)))</formula>
    </cfRule>
  </conditionalFormatting>
  <conditionalFormatting sqref="K14:L14">
    <cfRule type="containsText" dxfId="132" priority="7" stopIfTrue="1" operator="containsText" text="0">
      <formula>NOT(ISERROR(SEARCH("0",K14)))</formula>
    </cfRule>
    <cfRule type="containsText" dxfId="131" priority="8" stopIfTrue="1" operator="containsText" text="1">
      <formula>NOT(ISERROR(SEARCH("1",K14)))</formula>
    </cfRule>
    <cfRule type="containsText" dxfId="130" priority="9" stopIfTrue="1" operator="containsText" text="2">
      <formula>NOT(ISERROR(SEARCH("2",K14)))</formula>
    </cfRule>
    <cfRule type="containsText" dxfId="129" priority="10" stopIfTrue="1" operator="containsText" text="3">
      <formula>NOT(ISERROR(SEARCH("3",K14)))</formula>
    </cfRule>
    <cfRule type="containsText" dxfId="128" priority="11" stopIfTrue="1" operator="containsText" text="4">
      <formula>NOT(ISERROR(SEARCH("4",K14)))</formula>
    </cfRule>
    <cfRule type="containsText" dxfId="127" priority="12" stopIfTrue="1" operator="containsText" text="5">
      <formula>NOT(ISERROR(SEARCH("5",K14)))</formula>
    </cfRule>
  </conditionalFormatting>
  <conditionalFormatting sqref="K15:L15">
    <cfRule type="containsText" dxfId="126" priority="1" stopIfTrue="1" operator="containsText" text="0">
      <formula>NOT(ISERROR(SEARCH("0",K15)))</formula>
    </cfRule>
    <cfRule type="containsText" dxfId="125" priority="2" stopIfTrue="1" operator="containsText" text="1">
      <formula>NOT(ISERROR(SEARCH("1",K15)))</formula>
    </cfRule>
    <cfRule type="containsText" dxfId="124" priority="3" stopIfTrue="1" operator="containsText" text="2">
      <formula>NOT(ISERROR(SEARCH("2",K15)))</formula>
    </cfRule>
    <cfRule type="containsText" dxfId="123" priority="4" stopIfTrue="1" operator="containsText" text="3">
      <formula>NOT(ISERROR(SEARCH("3",K15)))</formula>
    </cfRule>
    <cfRule type="containsText" dxfId="122" priority="5" stopIfTrue="1" operator="containsText" text="4">
      <formula>NOT(ISERROR(SEARCH("4",K15)))</formula>
    </cfRule>
    <cfRule type="containsText" dxfId="121" priority="6" stopIfTrue="1" operator="containsText" text="5">
      <formula>NOT(ISERROR(SEARCH("5",K15)))</formula>
    </cfRule>
  </conditionalFormatting>
  <printOptions horizontalCentere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AddTargetLateral">
                <anchor moveWithCells="1" sizeWithCells="1">
                  <from>
                    <xdr:col>12</xdr:col>
                    <xdr:colOff>57150</xdr:colOff>
                    <xdr:row>5</xdr:row>
                    <xdr:rowOff>12700</xdr:rowOff>
                  </from>
                  <to>
                    <xdr:col>15</xdr:col>
                    <xdr:colOff>514350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AddrowTL">
                <anchor moveWithCells="1" sizeWithCells="1">
                  <from>
                    <xdr:col>12</xdr:col>
                    <xdr:colOff>50800</xdr:colOff>
                    <xdr:row>0</xdr:row>
                    <xdr:rowOff>50800</xdr:rowOff>
                  </from>
                  <to>
                    <xdr:col>15</xdr:col>
                    <xdr:colOff>508000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6" name="Button 3">
              <controlPr defaultSize="0" print="0" autoFill="0" autoPict="0" macro="[0]!DeleteRowTL">
                <anchor moveWithCells="1" sizeWithCells="1">
                  <from>
                    <xdr:col>12</xdr:col>
                    <xdr:colOff>57150</xdr:colOff>
                    <xdr:row>1</xdr:row>
                    <xdr:rowOff>152400</xdr:rowOff>
                  </from>
                  <to>
                    <xdr:col>15</xdr:col>
                    <xdr:colOff>514350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pageSetUpPr fitToPage="1"/>
  </sheetPr>
  <dimension ref="A1:Y49"/>
  <sheetViews>
    <sheetView zoomScaleNormal="100" workbookViewId="0">
      <selection activeCell="A10" sqref="A10:A28"/>
    </sheetView>
  </sheetViews>
  <sheetFormatPr defaultRowHeight="12.5"/>
  <cols>
    <col min="1" max="1" width="7.453125" customWidth="1"/>
    <col min="2" max="2" width="8.54296875" customWidth="1"/>
    <col min="3" max="12" width="7.453125" customWidth="1"/>
    <col min="13" max="13" width="9.1796875" style="23"/>
    <col min="17" max="22" width="15.7265625" customWidth="1"/>
  </cols>
  <sheetData>
    <row r="1" spans="1:25" s="15" customFormat="1" ht="23">
      <c r="A1" s="350" t="s">
        <v>105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160"/>
      <c r="N1" s="161"/>
      <c r="O1" s="161"/>
      <c r="P1" s="161"/>
      <c r="Q1"/>
      <c r="R1" s="127" t="s">
        <v>128</v>
      </c>
      <c r="S1" s="127"/>
      <c r="T1" s="127"/>
      <c r="U1"/>
      <c r="W1"/>
      <c r="X1"/>
      <c r="Y1"/>
    </row>
    <row r="2" spans="1:25" ht="14.5">
      <c r="A2" s="412"/>
      <c r="B2" s="412"/>
      <c r="C2" s="412"/>
      <c r="D2" s="412"/>
      <c r="E2" s="412"/>
      <c r="F2" s="412"/>
      <c r="G2" s="412"/>
      <c r="H2" s="412"/>
      <c r="I2" s="412"/>
      <c r="J2" s="412"/>
      <c r="K2" s="412"/>
      <c r="L2" s="412"/>
      <c r="M2" s="162"/>
      <c r="N2" s="127"/>
      <c r="O2" s="127"/>
      <c r="P2" s="127"/>
      <c r="Q2" s="149" t="s">
        <v>126</v>
      </c>
      <c r="R2" s="126" t="s">
        <v>124</v>
      </c>
    </row>
    <row r="3" spans="1:25" ht="14.5">
      <c r="A3" s="413" t="s">
        <v>101</v>
      </c>
      <c r="B3" s="413"/>
      <c r="C3" s="413"/>
      <c r="D3" s="413"/>
      <c r="E3" s="413"/>
      <c r="F3" s="413"/>
      <c r="G3" s="413"/>
      <c r="H3" s="413"/>
      <c r="I3" s="413"/>
      <c r="J3" s="413"/>
      <c r="K3" s="413"/>
      <c r="L3" s="413"/>
      <c r="M3" s="162"/>
      <c r="N3" s="127"/>
      <c r="O3" s="127"/>
      <c r="P3" s="127"/>
      <c r="Q3" s="149" t="s">
        <v>127</v>
      </c>
      <c r="R3" s="126" t="s">
        <v>125</v>
      </c>
    </row>
    <row r="4" spans="1:25">
      <c r="A4" s="412"/>
      <c r="B4" s="412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162"/>
      <c r="N4" s="127"/>
      <c r="O4" s="127"/>
      <c r="P4" s="127"/>
    </row>
    <row r="5" spans="1:25" ht="23">
      <c r="A5" s="400" t="s">
        <v>168</v>
      </c>
      <c r="B5" s="400"/>
      <c r="C5" s="400"/>
      <c r="D5" s="400"/>
      <c r="E5" s="400"/>
      <c r="F5" s="400"/>
      <c r="G5" s="400"/>
      <c r="H5" s="400"/>
      <c r="I5" s="400"/>
      <c r="J5" s="400"/>
      <c r="K5" s="400"/>
      <c r="L5" s="400"/>
    </row>
    <row r="6" spans="1:25" ht="17.25" customHeight="1">
      <c r="A6" s="386" t="s">
        <v>85</v>
      </c>
      <c r="B6" s="386"/>
      <c r="C6" s="386"/>
      <c r="D6" s="386"/>
      <c r="E6" s="386"/>
      <c r="F6" s="386"/>
      <c r="G6" s="386"/>
      <c r="H6" s="386"/>
      <c r="I6" s="386"/>
      <c r="J6" s="386"/>
      <c r="K6" s="386"/>
      <c r="L6" s="386"/>
      <c r="Q6" s="396" t="s">
        <v>151</v>
      </c>
      <c r="R6" s="396"/>
      <c r="S6" s="396"/>
      <c r="T6" s="396"/>
      <c r="U6" s="396"/>
      <c r="V6" s="396"/>
    </row>
    <row r="7" spans="1:25" ht="13.15" customHeight="1">
      <c r="A7" s="401" t="s">
        <v>86</v>
      </c>
      <c r="B7" s="402"/>
      <c r="C7" s="403" t="s">
        <v>87</v>
      </c>
      <c r="D7" s="402"/>
      <c r="E7" s="404"/>
      <c r="F7" s="405"/>
      <c r="G7" s="405"/>
      <c r="H7" s="405"/>
      <c r="I7" s="405"/>
      <c r="J7" s="406"/>
      <c r="K7" s="407" t="s">
        <v>107</v>
      </c>
      <c r="L7" s="408"/>
      <c r="Q7" s="397" t="s">
        <v>152</v>
      </c>
      <c r="R7" s="397"/>
      <c r="S7" s="398"/>
      <c r="T7" s="399" t="s">
        <v>153</v>
      </c>
      <c r="U7" s="397"/>
      <c r="V7" s="398"/>
    </row>
    <row r="8" spans="1:25" ht="13">
      <c r="A8" s="164" t="s">
        <v>46</v>
      </c>
      <c r="B8" s="108" t="s">
        <v>47</v>
      </c>
      <c r="C8" s="108" t="s">
        <v>88</v>
      </c>
      <c r="D8" s="109" t="s">
        <v>89</v>
      </c>
      <c r="E8" s="409" t="s">
        <v>90</v>
      </c>
      <c r="F8" s="410"/>
      <c r="G8" s="410"/>
      <c r="H8" s="410"/>
      <c r="I8" s="410"/>
      <c r="J8" s="411"/>
      <c r="K8" s="410" t="s">
        <v>91</v>
      </c>
      <c r="L8" s="410"/>
      <c r="Q8" s="144" t="s">
        <v>154</v>
      </c>
      <c r="R8" s="145" t="s">
        <v>155</v>
      </c>
      <c r="S8" s="150" t="s">
        <v>156</v>
      </c>
      <c r="T8" s="151" t="s">
        <v>154</v>
      </c>
      <c r="U8" s="146" t="s">
        <v>155</v>
      </c>
      <c r="V8" s="150" t="s">
        <v>156</v>
      </c>
    </row>
    <row r="9" spans="1:25">
      <c r="A9" s="129"/>
      <c r="B9" s="77"/>
      <c r="C9" s="134"/>
      <c r="D9" s="135"/>
      <c r="E9" s="421"/>
      <c r="F9" s="422"/>
      <c r="G9" s="422"/>
      <c r="H9" s="422"/>
      <c r="I9" s="422"/>
      <c r="J9" s="423"/>
      <c r="K9" s="391"/>
      <c r="L9" s="392"/>
      <c r="N9" s="133"/>
      <c r="Q9" s="77"/>
      <c r="R9" s="77">
        <f>'Well Data'!$F$45-S9</f>
        <v>688.9</v>
      </c>
      <c r="S9" s="154"/>
      <c r="T9" s="152"/>
      <c r="U9" s="77">
        <f>'Well Data'!$F$45-V9</f>
        <v>688.9</v>
      </c>
      <c r="V9" s="153"/>
      <c r="W9" s="147"/>
    </row>
    <row r="10" spans="1:25">
      <c r="A10" s="129" t="str">
        <f>IF(B9=0, "", B9)</f>
        <v/>
      </c>
      <c r="B10" s="77"/>
      <c r="C10" s="134"/>
      <c r="D10" s="135"/>
      <c r="E10" s="421"/>
      <c r="F10" s="422"/>
      <c r="G10" s="422"/>
      <c r="H10" s="422"/>
      <c r="I10" s="422"/>
      <c r="J10" s="423"/>
      <c r="K10" s="391"/>
      <c r="L10" s="392"/>
      <c r="N10" s="133"/>
      <c r="Q10" s="77"/>
      <c r="R10" s="77">
        <f>'Well Data'!$F$45-S10</f>
        <v>688.9</v>
      </c>
      <c r="S10" s="154"/>
      <c r="T10" s="152"/>
      <c r="U10" s="77">
        <f>'Well Data'!$F$45-V10</f>
        <v>688.9</v>
      </c>
      <c r="V10" s="153"/>
      <c r="W10" s="147"/>
    </row>
    <row r="11" spans="1:25">
      <c r="A11" s="129" t="str">
        <f t="shared" ref="A11:A28" si="0">IF(B10=0, "", B10)</f>
        <v/>
      </c>
      <c r="B11" s="77"/>
      <c r="C11" s="134"/>
      <c r="D11" s="135"/>
      <c r="E11" s="421"/>
      <c r="F11" s="422"/>
      <c r="G11" s="422"/>
      <c r="H11" s="422"/>
      <c r="I11" s="422"/>
      <c r="J11" s="423"/>
      <c r="K11" s="391"/>
      <c r="L11" s="392"/>
      <c r="N11" s="133"/>
      <c r="Q11" s="77"/>
      <c r="R11" s="77">
        <f>'Well Data'!$F$45-S11</f>
        <v>688.9</v>
      </c>
      <c r="S11" s="154"/>
      <c r="T11" s="152"/>
      <c r="U11" s="77">
        <f>'Well Data'!$F$45-V11</f>
        <v>688.9</v>
      </c>
      <c r="V11" s="153"/>
      <c r="W11" s="147"/>
    </row>
    <row r="12" spans="1:25">
      <c r="A12" s="129" t="str">
        <f t="shared" si="0"/>
        <v/>
      </c>
      <c r="B12" s="77"/>
      <c r="C12" s="134"/>
      <c r="D12" s="135"/>
      <c r="E12" s="421"/>
      <c r="F12" s="422"/>
      <c r="G12" s="422"/>
      <c r="H12" s="422"/>
      <c r="I12" s="422"/>
      <c r="J12" s="423"/>
      <c r="K12" s="391"/>
      <c r="L12" s="392"/>
      <c r="N12" s="133"/>
      <c r="Q12" s="77"/>
      <c r="R12" s="77">
        <f>'Well Data'!$F$45-S12</f>
        <v>688.9</v>
      </c>
      <c r="S12" s="154"/>
      <c r="T12" s="152"/>
      <c r="U12" s="77">
        <f>'Well Data'!$F$45-V12</f>
        <v>688.9</v>
      </c>
      <c r="V12" s="153"/>
      <c r="W12" s="147"/>
    </row>
    <row r="13" spans="1:25">
      <c r="A13" s="129" t="str">
        <f t="shared" si="0"/>
        <v/>
      </c>
      <c r="B13" s="77"/>
      <c r="C13" s="134"/>
      <c r="D13" s="135"/>
      <c r="E13" s="421"/>
      <c r="F13" s="422"/>
      <c r="G13" s="422"/>
      <c r="H13" s="422"/>
      <c r="I13" s="422"/>
      <c r="J13" s="423"/>
      <c r="K13" s="391"/>
      <c r="L13" s="392"/>
      <c r="N13" s="133"/>
      <c r="Q13" s="77"/>
      <c r="R13" s="77">
        <f>'Well Data'!$F$45-S13</f>
        <v>688.9</v>
      </c>
      <c r="S13" s="154"/>
      <c r="T13" s="152"/>
      <c r="U13" s="77">
        <f>'Well Data'!$F$45-V13</f>
        <v>688.9</v>
      </c>
      <c r="V13" s="153"/>
      <c r="W13" s="147"/>
    </row>
    <row r="14" spans="1:25">
      <c r="A14" s="129" t="str">
        <f t="shared" si="0"/>
        <v/>
      </c>
      <c r="B14" s="77"/>
      <c r="C14" s="134"/>
      <c r="D14" s="135"/>
      <c r="E14" s="421"/>
      <c r="F14" s="422"/>
      <c r="G14" s="422"/>
      <c r="H14" s="422"/>
      <c r="I14" s="422"/>
      <c r="J14" s="423"/>
      <c r="K14" s="391"/>
      <c r="L14" s="392"/>
      <c r="N14" s="133"/>
      <c r="Q14" s="77"/>
      <c r="R14" s="77">
        <f>'Well Data'!$F$45-S14</f>
        <v>688.9</v>
      </c>
      <c r="S14" s="154"/>
      <c r="T14" s="152"/>
      <c r="U14" s="77">
        <f>'Well Data'!$F$45-V14</f>
        <v>688.9</v>
      </c>
      <c r="V14" s="153"/>
      <c r="W14" s="148"/>
    </row>
    <row r="15" spans="1:25">
      <c r="A15" s="129" t="str">
        <f t="shared" si="0"/>
        <v/>
      </c>
      <c r="B15" s="77"/>
      <c r="C15" s="134"/>
      <c r="D15" s="135"/>
      <c r="E15" s="421"/>
      <c r="F15" s="422"/>
      <c r="G15" s="422"/>
      <c r="H15" s="422"/>
      <c r="I15" s="422"/>
      <c r="J15" s="423"/>
      <c r="K15" s="391"/>
      <c r="L15" s="392"/>
      <c r="N15" s="133"/>
      <c r="Q15" s="77"/>
      <c r="R15" s="77">
        <f>'Well Data'!$F$45-S15</f>
        <v>688.9</v>
      </c>
      <c r="S15" s="154"/>
      <c r="T15" s="152"/>
      <c r="U15" s="77">
        <f>'Well Data'!$F$45-V15</f>
        <v>688.9</v>
      </c>
      <c r="V15" s="153"/>
      <c r="W15" s="147"/>
    </row>
    <row r="16" spans="1:25">
      <c r="A16" s="129" t="str">
        <f t="shared" si="0"/>
        <v/>
      </c>
      <c r="B16" s="77"/>
      <c r="C16" s="134"/>
      <c r="D16" s="135"/>
      <c r="E16" s="421"/>
      <c r="F16" s="422"/>
      <c r="G16" s="422"/>
      <c r="H16" s="422"/>
      <c r="I16" s="422"/>
      <c r="J16" s="423"/>
      <c r="K16" s="391"/>
      <c r="L16" s="392"/>
      <c r="N16" s="133"/>
      <c r="Q16" s="77"/>
      <c r="R16" s="77">
        <f>'Well Data'!$F$45-S16</f>
        <v>688.9</v>
      </c>
      <c r="S16" s="154"/>
      <c r="T16" s="152"/>
      <c r="U16" s="77">
        <f>'Well Data'!$F$45-V16</f>
        <v>688.9</v>
      </c>
      <c r="V16" s="153"/>
      <c r="W16" s="147"/>
    </row>
    <row r="17" spans="1:23">
      <c r="A17" s="129" t="str">
        <f t="shared" si="0"/>
        <v/>
      </c>
      <c r="B17" s="77"/>
      <c r="C17" s="134"/>
      <c r="D17" s="135"/>
      <c r="E17" s="421"/>
      <c r="F17" s="422"/>
      <c r="G17" s="422"/>
      <c r="H17" s="422"/>
      <c r="I17" s="422"/>
      <c r="J17" s="423"/>
      <c r="K17" s="391"/>
      <c r="L17" s="392"/>
      <c r="N17" s="133"/>
      <c r="Q17" s="77"/>
      <c r="R17" s="77">
        <f>'Well Data'!$F$45-S17</f>
        <v>688.9</v>
      </c>
      <c r="S17" s="154"/>
      <c r="T17" s="152"/>
      <c r="U17" s="77">
        <f>'Well Data'!$F$45-V17</f>
        <v>688.9</v>
      </c>
      <c r="V17" s="153"/>
      <c r="W17" s="147"/>
    </row>
    <row r="18" spans="1:23">
      <c r="A18" s="129" t="str">
        <f t="shared" si="0"/>
        <v/>
      </c>
      <c r="B18" s="77"/>
      <c r="C18" s="134"/>
      <c r="D18" s="135"/>
      <c r="E18" s="421"/>
      <c r="F18" s="422"/>
      <c r="G18" s="422"/>
      <c r="H18" s="422"/>
      <c r="I18" s="422"/>
      <c r="J18" s="423"/>
      <c r="K18" s="391"/>
      <c r="L18" s="392"/>
      <c r="N18" s="133"/>
      <c r="Q18" s="77"/>
      <c r="R18" s="77">
        <f>'Well Data'!$F$45-S18</f>
        <v>688.9</v>
      </c>
      <c r="S18" s="154"/>
      <c r="T18" s="152"/>
      <c r="U18" s="77">
        <f>'Well Data'!$F$45-V18</f>
        <v>688.9</v>
      </c>
      <c r="V18" s="153"/>
      <c r="W18" s="147"/>
    </row>
    <row r="19" spans="1:23">
      <c r="A19" s="129" t="str">
        <f t="shared" si="0"/>
        <v/>
      </c>
      <c r="B19" s="77"/>
      <c r="C19" s="134"/>
      <c r="D19" s="135"/>
      <c r="E19" s="421"/>
      <c r="F19" s="422"/>
      <c r="G19" s="422"/>
      <c r="H19" s="422"/>
      <c r="I19" s="422"/>
      <c r="J19" s="423"/>
      <c r="K19" s="391"/>
      <c r="L19" s="392"/>
      <c r="N19" s="133"/>
      <c r="Q19" s="77"/>
      <c r="R19" s="77">
        <f>'Well Data'!$F$45-S19</f>
        <v>688.9</v>
      </c>
      <c r="S19" s="154"/>
      <c r="T19" s="152"/>
      <c r="U19" s="77">
        <f>'Well Data'!$F$45-V19</f>
        <v>688.9</v>
      </c>
      <c r="V19" s="153"/>
      <c r="W19" s="147"/>
    </row>
    <row r="20" spans="1:23">
      <c r="A20" s="129" t="str">
        <f t="shared" si="0"/>
        <v/>
      </c>
      <c r="B20" s="77"/>
      <c r="C20" s="134"/>
      <c r="D20" s="135"/>
      <c r="E20" s="421"/>
      <c r="F20" s="422"/>
      <c r="G20" s="422"/>
      <c r="H20" s="422"/>
      <c r="I20" s="422"/>
      <c r="J20" s="423"/>
      <c r="K20" s="391"/>
      <c r="L20" s="392"/>
      <c r="N20" s="133"/>
      <c r="Q20" s="77"/>
      <c r="R20" s="77">
        <f>'Well Data'!$F$45-S20</f>
        <v>688.9</v>
      </c>
      <c r="S20" s="154"/>
      <c r="T20" s="152"/>
      <c r="U20" s="77">
        <f>'Well Data'!$F$45-V20</f>
        <v>688.9</v>
      </c>
      <c r="V20" s="153"/>
      <c r="W20" s="147"/>
    </row>
    <row r="21" spans="1:23">
      <c r="A21" s="129" t="str">
        <f t="shared" si="0"/>
        <v/>
      </c>
      <c r="B21" s="77"/>
      <c r="C21" s="134"/>
      <c r="D21" s="135"/>
      <c r="E21" s="421"/>
      <c r="F21" s="422"/>
      <c r="G21" s="422"/>
      <c r="H21" s="422"/>
      <c r="I21" s="422"/>
      <c r="J21" s="423"/>
      <c r="K21" s="391"/>
      <c r="L21" s="392"/>
      <c r="N21" s="133"/>
      <c r="Q21" s="77"/>
      <c r="R21" s="77">
        <f>'Well Data'!$F$45-S21</f>
        <v>688.9</v>
      </c>
      <c r="S21" s="154"/>
      <c r="T21" s="152"/>
      <c r="U21" s="77">
        <f>'Well Data'!$F$45-V21</f>
        <v>688.9</v>
      </c>
      <c r="V21" s="153"/>
      <c r="W21" s="147"/>
    </row>
    <row r="22" spans="1:23">
      <c r="A22" s="129" t="str">
        <f t="shared" si="0"/>
        <v/>
      </c>
      <c r="B22" s="77"/>
      <c r="C22" s="134"/>
      <c r="D22" s="135"/>
      <c r="E22" s="421"/>
      <c r="F22" s="422"/>
      <c r="G22" s="422"/>
      <c r="H22" s="422"/>
      <c r="I22" s="422"/>
      <c r="J22" s="423"/>
      <c r="K22" s="391"/>
      <c r="L22" s="392"/>
      <c r="N22" s="133"/>
      <c r="Q22" s="77"/>
      <c r="R22" s="77">
        <f>'Well Data'!$F$45-S22</f>
        <v>688.9</v>
      </c>
      <c r="S22" s="154"/>
      <c r="T22" s="152"/>
      <c r="U22" s="77">
        <f>'Well Data'!$F$45-V22</f>
        <v>688.9</v>
      </c>
      <c r="V22" s="153"/>
      <c r="W22" s="147"/>
    </row>
    <row r="23" spans="1:23">
      <c r="A23" s="129" t="str">
        <f t="shared" si="0"/>
        <v/>
      </c>
      <c r="B23" s="77"/>
      <c r="C23" s="134"/>
      <c r="D23" s="135"/>
      <c r="E23" s="421"/>
      <c r="F23" s="422"/>
      <c r="G23" s="422"/>
      <c r="H23" s="422"/>
      <c r="I23" s="422"/>
      <c r="J23" s="423"/>
      <c r="K23" s="391"/>
      <c r="L23" s="392"/>
      <c r="N23" s="133"/>
      <c r="Q23" s="77"/>
      <c r="R23" s="77">
        <f>'Well Data'!$F$45-S23</f>
        <v>688.9</v>
      </c>
      <c r="S23" s="154"/>
      <c r="T23" s="152"/>
      <c r="U23" s="77">
        <f>'Well Data'!$F$45-V23</f>
        <v>688.9</v>
      </c>
      <c r="V23" s="153"/>
      <c r="W23" s="147"/>
    </row>
    <row r="24" spans="1:23">
      <c r="A24" s="129" t="str">
        <f t="shared" si="0"/>
        <v/>
      </c>
      <c r="B24" s="77"/>
      <c r="C24" s="134"/>
      <c r="D24" s="135"/>
      <c r="E24" s="421"/>
      <c r="F24" s="422"/>
      <c r="G24" s="422"/>
      <c r="H24" s="422"/>
      <c r="I24" s="422"/>
      <c r="J24" s="423"/>
      <c r="K24" s="391"/>
      <c r="L24" s="392"/>
      <c r="N24" s="133"/>
      <c r="Q24" s="77"/>
      <c r="R24" s="77">
        <f>'Well Data'!$F$45-S24</f>
        <v>688.9</v>
      </c>
      <c r="S24" s="154"/>
      <c r="T24" s="152"/>
      <c r="U24" s="77">
        <f>'Well Data'!$F$45-V24</f>
        <v>688.9</v>
      </c>
      <c r="V24" s="153"/>
      <c r="W24" s="147"/>
    </row>
    <row r="25" spans="1:23">
      <c r="A25" s="129" t="str">
        <f t="shared" si="0"/>
        <v/>
      </c>
      <c r="B25" s="77"/>
      <c r="C25" s="134"/>
      <c r="D25" s="135"/>
      <c r="E25" s="421"/>
      <c r="F25" s="422"/>
      <c r="G25" s="422"/>
      <c r="H25" s="422"/>
      <c r="I25" s="422"/>
      <c r="J25" s="423"/>
      <c r="K25" s="391"/>
      <c r="L25" s="392"/>
      <c r="N25" s="133"/>
      <c r="Q25" s="77"/>
      <c r="R25" s="77">
        <f>'Well Data'!$F$45-S25</f>
        <v>688.9</v>
      </c>
      <c r="S25" s="154"/>
      <c r="T25" s="152"/>
      <c r="U25" s="77">
        <f>'Well Data'!$F$45-V25</f>
        <v>688.9</v>
      </c>
      <c r="V25" s="153"/>
      <c r="W25" s="147"/>
    </row>
    <row r="26" spans="1:23">
      <c r="A26" s="129" t="str">
        <f t="shared" si="0"/>
        <v/>
      </c>
      <c r="B26" s="77"/>
      <c r="C26" s="134"/>
      <c r="D26" s="135"/>
      <c r="E26" s="428"/>
      <c r="F26" s="429"/>
      <c r="G26" s="429"/>
      <c r="H26" s="429"/>
      <c r="I26" s="429"/>
      <c r="J26" s="430"/>
      <c r="K26" s="391"/>
      <c r="L26" s="392"/>
      <c r="N26" s="133"/>
      <c r="Q26" s="155"/>
      <c r="R26" s="77">
        <f>'Well Data'!$F$45-S26</f>
        <v>688.9</v>
      </c>
      <c r="S26" s="154"/>
      <c r="T26" s="156"/>
      <c r="U26" s="77">
        <f>'Well Data'!$F$45-V26</f>
        <v>688.9</v>
      </c>
      <c r="V26" s="154"/>
    </row>
    <row r="27" spans="1:23">
      <c r="A27" s="129" t="str">
        <f t="shared" si="0"/>
        <v/>
      </c>
      <c r="B27" s="77"/>
      <c r="C27" s="134"/>
      <c r="D27" s="135"/>
      <c r="E27" s="428"/>
      <c r="F27" s="429"/>
      <c r="G27" s="429"/>
      <c r="H27" s="429"/>
      <c r="I27" s="429"/>
      <c r="J27" s="430"/>
      <c r="K27" s="414"/>
      <c r="L27" s="417"/>
      <c r="N27" s="133"/>
      <c r="Q27" s="155"/>
      <c r="R27" s="77">
        <f>'Well Data'!$F$45-S27</f>
        <v>688.9</v>
      </c>
      <c r="S27" s="154"/>
      <c r="T27" s="156"/>
      <c r="U27" s="77">
        <f>'Well Data'!$F$45-V27</f>
        <v>688.9</v>
      </c>
      <c r="V27" s="154"/>
    </row>
    <row r="28" spans="1:23">
      <c r="A28" s="129" t="str">
        <f t="shared" si="0"/>
        <v/>
      </c>
      <c r="B28" s="77"/>
      <c r="C28" s="134"/>
      <c r="D28" s="135"/>
      <c r="E28" s="421"/>
      <c r="F28" s="422"/>
      <c r="G28" s="422"/>
      <c r="H28" s="422"/>
      <c r="I28" s="422"/>
      <c r="J28" s="423"/>
      <c r="K28" s="391"/>
      <c r="L28" s="392"/>
      <c r="Q28" s="155"/>
      <c r="R28" s="77">
        <f>'Well Data'!$F$45-S28</f>
        <v>688.9</v>
      </c>
      <c r="S28" s="154"/>
      <c r="T28" s="156"/>
      <c r="U28" s="77">
        <f>'Well Data'!$F$45-V28</f>
        <v>688.9</v>
      </c>
      <c r="V28" s="154"/>
    </row>
    <row r="29" spans="1:23">
      <c r="A29" s="129"/>
      <c r="B29" s="77"/>
      <c r="C29" s="134"/>
      <c r="D29" s="135"/>
      <c r="E29" s="421"/>
      <c r="F29" s="422"/>
      <c r="G29" s="422"/>
      <c r="H29" s="422"/>
      <c r="I29" s="422"/>
      <c r="J29" s="423"/>
      <c r="K29" s="391"/>
      <c r="L29" s="392"/>
      <c r="Q29" s="155"/>
      <c r="R29" s="77">
        <f>'Well Data'!$F$45-S29</f>
        <v>688.9</v>
      </c>
      <c r="S29" s="154"/>
      <c r="T29" s="156"/>
      <c r="U29" s="77">
        <f>'Well Data'!$F$45-V29</f>
        <v>688.9</v>
      </c>
      <c r="V29" s="154"/>
    </row>
    <row r="30" spans="1:23" ht="13">
      <c r="A30" s="386" t="s">
        <v>97</v>
      </c>
      <c r="B30" s="387"/>
      <c r="C30" s="387"/>
      <c r="D30" s="387"/>
      <c r="E30" s="387"/>
      <c r="F30" s="387"/>
      <c r="G30" s="387"/>
      <c r="H30" s="387"/>
      <c r="I30" s="387"/>
      <c r="J30" s="387"/>
      <c r="K30" s="387"/>
      <c r="L30" s="387"/>
    </row>
    <row r="31" spans="1:23">
      <c r="A31" s="110">
        <v>5</v>
      </c>
      <c r="B31" s="383"/>
      <c r="C31" s="384"/>
      <c r="D31" s="384"/>
      <c r="E31" s="384"/>
      <c r="F31" s="384"/>
      <c r="G31" s="384"/>
      <c r="H31" s="384"/>
      <c r="I31" s="384"/>
      <c r="J31" s="384"/>
      <c r="K31" s="384"/>
      <c r="L31" s="385"/>
    </row>
    <row r="32" spans="1:23">
      <c r="A32" s="110">
        <v>4</v>
      </c>
      <c r="B32" s="383"/>
      <c r="C32" s="384"/>
      <c r="D32" s="384"/>
      <c r="E32" s="384"/>
      <c r="F32" s="384"/>
      <c r="G32" s="384"/>
      <c r="H32" s="384"/>
      <c r="I32" s="384"/>
      <c r="J32" s="384"/>
      <c r="K32" s="384"/>
      <c r="L32" s="385"/>
    </row>
    <row r="33" spans="1:12" ht="12.75" customHeight="1">
      <c r="A33" s="110">
        <v>3</v>
      </c>
      <c r="B33" s="383"/>
      <c r="C33" s="384"/>
      <c r="D33" s="384"/>
      <c r="E33" s="384"/>
      <c r="F33" s="384"/>
      <c r="G33" s="384"/>
      <c r="H33" s="384"/>
      <c r="I33" s="384"/>
      <c r="J33" s="384"/>
      <c r="K33" s="384"/>
      <c r="L33" s="385"/>
    </row>
    <row r="34" spans="1:12" ht="12.75" customHeight="1">
      <c r="A34" s="110">
        <v>2</v>
      </c>
      <c r="B34" s="383"/>
      <c r="C34" s="384"/>
      <c r="D34" s="384"/>
      <c r="E34" s="384"/>
      <c r="F34" s="384"/>
      <c r="G34" s="384"/>
      <c r="H34" s="384"/>
      <c r="I34" s="384"/>
      <c r="J34" s="384"/>
      <c r="K34" s="384"/>
      <c r="L34" s="385"/>
    </row>
    <row r="35" spans="1:12" ht="12.75" customHeight="1">
      <c r="A35" s="110">
        <v>1</v>
      </c>
      <c r="B35" s="383"/>
      <c r="C35" s="384"/>
      <c r="D35" s="384"/>
      <c r="E35" s="384"/>
      <c r="F35" s="384"/>
      <c r="G35" s="384"/>
      <c r="H35" s="384"/>
      <c r="I35" s="384"/>
      <c r="J35" s="384"/>
      <c r="K35" s="384"/>
      <c r="L35" s="385"/>
    </row>
    <row r="36" spans="1:12" ht="12.75" customHeight="1">
      <c r="A36" s="110">
        <v>0</v>
      </c>
      <c r="B36" s="383"/>
      <c r="C36" s="384"/>
      <c r="D36" s="384"/>
      <c r="E36" s="384"/>
      <c r="F36" s="384"/>
      <c r="G36" s="384"/>
      <c r="H36" s="384"/>
      <c r="I36" s="384"/>
      <c r="J36" s="384"/>
      <c r="K36" s="384"/>
      <c r="L36" s="385"/>
    </row>
    <row r="37" spans="1:12" ht="12.75" customHeight="1">
      <c r="A37" s="381"/>
      <c r="B37" s="382"/>
      <c r="C37" s="382"/>
      <c r="D37" s="382"/>
      <c r="E37" s="382"/>
      <c r="F37" s="382"/>
      <c r="G37" s="382"/>
      <c r="H37" s="382"/>
      <c r="I37" s="382"/>
      <c r="J37" s="382"/>
      <c r="K37" s="382"/>
      <c r="L37" s="382"/>
    </row>
    <row r="38" spans="1:12" ht="12.75" customHeight="1">
      <c r="A38" s="387" t="s">
        <v>161</v>
      </c>
      <c r="B38" s="387"/>
      <c r="C38" s="387"/>
      <c r="D38" s="387"/>
      <c r="E38" s="387"/>
      <c r="F38" s="387"/>
      <c r="G38" s="387"/>
      <c r="H38" s="387"/>
      <c r="I38" s="387"/>
      <c r="J38" s="387"/>
      <c r="K38" s="387"/>
      <c r="L38" s="387"/>
    </row>
    <row r="39" spans="1:12" ht="12.75" customHeight="1">
      <c r="A39" s="394"/>
      <c r="B39" s="394"/>
      <c r="C39" s="394"/>
      <c r="D39" s="394"/>
      <c r="E39" s="394"/>
      <c r="F39" s="394"/>
      <c r="G39" s="394"/>
      <c r="H39" s="394"/>
      <c r="I39" s="394"/>
      <c r="J39" s="394"/>
      <c r="K39" s="394"/>
      <c r="L39" s="394"/>
    </row>
    <row r="40" spans="1:12">
      <c r="A40" s="395"/>
      <c r="B40" s="395"/>
      <c r="C40" s="395"/>
      <c r="D40" s="395"/>
      <c r="E40" s="395"/>
      <c r="F40" s="395"/>
      <c r="G40" s="395"/>
      <c r="H40" s="395"/>
      <c r="I40" s="395"/>
      <c r="J40" s="395"/>
      <c r="K40" s="395"/>
      <c r="L40" s="395"/>
    </row>
    <row r="41" spans="1:12">
      <c r="A41" s="384"/>
      <c r="B41" s="384"/>
      <c r="C41" s="384"/>
      <c r="D41" s="384"/>
      <c r="E41" s="384"/>
      <c r="F41" s="384"/>
      <c r="G41" s="384"/>
      <c r="H41" s="384"/>
      <c r="I41" s="384"/>
      <c r="J41" s="384"/>
      <c r="K41" s="384"/>
      <c r="L41" s="384"/>
    </row>
    <row r="42" spans="1:12" ht="12.75" customHeight="1">
      <c r="A42" s="384"/>
      <c r="B42" s="384"/>
      <c r="C42" s="384"/>
      <c r="D42" s="384"/>
      <c r="E42" s="384"/>
      <c r="F42" s="384"/>
      <c r="G42" s="384"/>
      <c r="H42" s="384"/>
      <c r="I42" s="384"/>
      <c r="J42" s="384"/>
      <c r="K42" s="384"/>
      <c r="L42" s="384"/>
    </row>
    <row r="43" spans="1:12" ht="12.75" customHeight="1">
      <c r="A43" s="384"/>
      <c r="B43" s="384"/>
      <c r="C43" s="384"/>
      <c r="D43" s="384"/>
      <c r="E43" s="384"/>
      <c r="F43" s="384"/>
      <c r="G43" s="384"/>
      <c r="H43" s="384"/>
      <c r="I43" s="384"/>
      <c r="J43" s="384"/>
      <c r="K43" s="384"/>
      <c r="L43" s="384"/>
    </row>
    <row r="44" spans="1:12" ht="12.75" customHeight="1">
      <c r="A44" s="384"/>
      <c r="B44" s="384"/>
      <c r="C44" s="384"/>
      <c r="D44" s="384"/>
      <c r="E44" s="384"/>
      <c r="F44" s="384"/>
      <c r="G44" s="384"/>
      <c r="H44" s="384"/>
      <c r="I44" s="384"/>
      <c r="J44" s="384"/>
      <c r="K44" s="384"/>
      <c r="L44" s="384"/>
    </row>
    <row r="45" spans="1:12" ht="12.75" customHeight="1">
      <c r="A45" s="393"/>
      <c r="B45" s="393"/>
      <c r="C45" s="393"/>
      <c r="D45" s="393"/>
      <c r="E45" s="393"/>
      <c r="F45" s="393"/>
      <c r="G45" s="393"/>
      <c r="H45" s="393"/>
      <c r="I45" s="393"/>
      <c r="J45" s="393"/>
      <c r="K45" s="393"/>
      <c r="L45" s="393"/>
    </row>
    <row r="46" spans="1:12" ht="12.75" customHeight="1"/>
    <row r="47" spans="1:12" ht="12.75" customHeight="1"/>
    <row r="48" spans="1:12" ht="12.75" customHeight="1"/>
    <row r="49" ht="12.75" customHeight="1"/>
  </sheetData>
  <sheetProtection formatCells="0"/>
  <mergeCells count="73">
    <mergeCell ref="A1:L1"/>
    <mergeCell ref="A2:L2"/>
    <mergeCell ref="A3:L3"/>
    <mergeCell ref="A4:L4"/>
    <mergeCell ref="A5:L5"/>
    <mergeCell ref="Q6:V6"/>
    <mergeCell ref="A7:B7"/>
    <mergeCell ref="C7:D7"/>
    <mergeCell ref="E7:J7"/>
    <mergeCell ref="K7:L7"/>
    <mergeCell ref="Q7:S7"/>
    <mergeCell ref="T7:V7"/>
    <mergeCell ref="A6:L6"/>
    <mergeCell ref="E8:J8"/>
    <mergeCell ref="K8:L8"/>
    <mergeCell ref="E9:J9"/>
    <mergeCell ref="K9:L9"/>
    <mergeCell ref="E10:J10"/>
    <mergeCell ref="K10:L10"/>
    <mergeCell ref="E11:J11"/>
    <mergeCell ref="K11:L11"/>
    <mergeCell ref="E12:J12"/>
    <mergeCell ref="K12:L12"/>
    <mergeCell ref="E13:J13"/>
    <mergeCell ref="K13:L13"/>
    <mergeCell ref="E14:J14"/>
    <mergeCell ref="K14:L14"/>
    <mergeCell ref="E15:J15"/>
    <mergeCell ref="K15:L15"/>
    <mergeCell ref="E16:J16"/>
    <mergeCell ref="K16:L16"/>
    <mergeCell ref="E17:J17"/>
    <mergeCell ref="K17:L17"/>
    <mergeCell ref="E18:J18"/>
    <mergeCell ref="K18:L18"/>
    <mergeCell ref="E19:J19"/>
    <mergeCell ref="K19:L19"/>
    <mergeCell ref="E20:J20"/>
    <mergeCell ref="K20:L20"/>
    <mergeCell ref="E21:J21"/>
    <mergeCell ref="K21:L21"/>
    <mergeCell ref="E22:J22"/>
    <mergeCell ref="K22:L22"/>
    <mergeCell ref="E23:J23"/>
    <mergeCell ref="K23:L23"/>
    <mergeCell ref="E24:J24"/>
    <mergeCell ref="K24:L24"/>
    <mergeCell ref="E25:J25"/>
    <mergeCell ref="K25:L25"/>
    <mergeCell ref="B33:L33"/>
    <mergeCell ref="E26:J26"/>
    <mergeCell ref="K26:L26"/>
    <mergeCell ref="E27:J27"/>
    <mergeCell ref="K27:L27"/>
    <mergeCell ref="E28:J28"/>
    <mergeCell ref="K28:L28"/>
    <mergeCell ref="E29:J29"/>
    <mergeCell ref="K29:L29"/>
    <mergeCell ref="A30:L30"/>
    <mergeCell ref="B31:L31"/>
    <mergeCell ref="B32:L32"/>
    <mergeCell ref="A45:L45"/>
    <mergeCell ref="B34:L34"/>
    <mergeCell ref="B35:L35"/>
    <mergeCell ref="B36:L36"/>
    <mergeCell ref="A37:L37"/>
    <mergeCell ref="A38:L38"/>
    <mergeCell ref="A39:L39"/>
    <mergeCell ref="A40:L40"/>
    <mergeCell ref="A41:L41"/>
    <mergeCell ref="A42:L42"/>
    <mergeCell ref="A43:L43"/>
    <mergeCell ref="A44:L44"/>
  </mergeCells>
  <conditionalFormatting sqref="A31:A36">
    <cfRule type="containsText" dxfId="120" priority="55" stopIfTrue="1" operator="containsText" text="0">
      <formula>NOT(ISERROR(SEARCH("0",A31)))</formula>
    </cfRule>
    <cfRule type="containsText" dxfId="119" priority="56" stopIfTrue="1" operator="containsText" text="1">
      <formula>NOT(ISERROR(SEARCH("1",A31)))</formula>
    </cfRule>
    <cfRule type="containsText" dxfId="118" priority="57" stopIfTrue="1" operator="containsText" text="2">
      <formula>NOT(ISERROR(SEARCH("2",A31)))</formula>
    </cfRule>
    <cfRule type="containsText" dxfId="117" priority="58" stopIfTrue="1" operator="containsText" text="3">
      <formula>NOT(ISERROR(SEARCH("3",A31)))</formula>
    </cfRule>
    <cfRule type="containsText" dxfId="116" priority="59" stopIfTrue="1" operator="containsText" text="4">
      <formula>NOT(ISERROR(SEARCH("4",A31)))</formula>
    </cfRule>
    <cfRule type="containsText" dxfId="115" priority="60" stopIfTrue="1" operator="containsText" text="5">
      <formula>NOT(ISERROR(SEARCH("5",A31)))</formula>
    </cfRule>
  </conditionalFormatting>
  <conditionalFormatting sqref="K9:L10">
    <cfRule type="containsText" dxfId="114" priority="13" stopIfTrue="1" operator="containsText" text="0">
      <formula>NOT(ISERROR(SEARCH("0",K9)))</formula>
    </cfRule>
    <cfRule type="containsText" dxfId="113" priority="14" stopIfTrue="1" operator="containsText" text="1">
      <formula>NOT(ISERROR(SEARCH("1",K9)))</formula>
    </cfRule>
    <cfRule type="containsText" dxfId="112" priority="15" stopIfTrue="1" operator="containsText" text="2">
      <formula>NOT(ISERROR(SEARCH("2",K9)))</formula>
    </cfRule>
    <cfRule type="containsText" dxfId="111" priority="16" stopIfTrue="1" operator="containsText" text="3">
      <formula>NOT(ISERROR(SEARCH("3",K9)))</formula>
    </cfRule>
    <cfRule type="containsText" dxfId="110" priority="17" stopIfTrue="1" operator="containsText" text="4">
      <formula>NOT(ISERROR(SEARCH("4",K9)))</formula>
    </cfRule>
    <cfRule type="containsText" dxfId="109" priority="18" stopIfTrue="1" operator="containsText" text="5">
      <formula>NOT(ISERROR(SEARCH("5",K9)))</formula>
    </cfRule>
  </conditionalFormatting>
  <conditionalFormatting sqref="K28:L28">
    <cfRule type="containsText" dxfId="108" priority="43" stopIfTrue="1" operator="containsText" text="0">
      <formula>NOT(ISERROR(SEARCH("0",K28)))</formula>
    </cfRule>
    <cfRule type="containsText" dxfId="107" priority="44" stopIfTrue="1" operator="containsText" text="1">
      <formula>NOT(ISERROR(SEARCH("1",K28)))</formula>
    </cfRule>
    <cfRule type="containsText" dxfId="106" priority="45" stopIfTrue="1" operator="containsText" text="2">
      <formula>NOT(ISERROR(SEARCH("2",K28)))</formula>
    </cfRule>
    <cfRule type="containsText" dxfId="105" priority="46" stopIfTrue="1" operator="containsText" text="3">
      <formula>NOT(ISERROR(SEARCH("3",K28)))</formula>
    </cfRule>
    <cfRule type="containsText" dxfId="104" priority="47" stopIfTrue="1" operator="containsText" text="4">
      <formula>NOT(ISERROR(SEARCH("4",K28)))</formula>
    </cfRule>
    <cfRule type="containsText" dxfId="103" priority="48" stopIfTrue="1" operator="containsText" text="5">
      <formula>NOT(ISERROR(SEARCH("5",K28)))</formula>
    </cfRule>
  </conditionalFormatting>
  <conditionalFormatting sqref="K29:L29">
    <cfRule type="containsText" dxfId="102" priority="49" stopIfTrue="1" operator="containsText" text="0">
      <formula>NOT(ISERROR(SEARCH("0",K29)))</formula>
    </cfRule>
    <cfRule type="containsText" dxfId="101" priority="50" stopIfTrue="1" operator="containsText" text="1">
      <formula>NOT(ISERROR(SEARCH("1",K29)))</formula>
    </cfRule>
    <cfRule type="containsText" dxfId="100" priority="51" stopIfTrue="1" operator="containsText" text="2">
      <formula>NOT(ISERROR(SEARCH("2",K29)))</formula>
    </cfRule>
    <cfRule type="containsText" dxfId="99" priority="52" stopIfTrue="1" operator="containsText" text="3">
      <formula>NOT(ISERROR(SEARCH("3",K29)))</formula>
    </cfRule>
    <cfRule type="containsText" dxfId="98" priority="53" stopIfTrue="1" operator="containsText" text="4">
      <formula>NOT(ISERROR(SEARCH("4",K29)))</formula>
    </cfRule>
    <cfRule type="containsText" dxfId="97" priority="54" stopIfTrue="1" operator="containsText" text="5">
      <formula>NOT(ISERROR(SEARCH("5",K29)))</formula>
    </cfRule>
  </conditionalFormatting>
  <conditionalFormatting sqref="K18:L19">
    <cfRule type="containsText" dxfId="96" priority="31" stopIfTrue="1" operator="containsText" text="0">
      <formula>NOT(ISERROR(SEARCH("0",K18)))</formula>
    </cfRule>
    <cfRule type="containsText" dxfId="95" priority="32" stopIfTrue="1" operator="containsText" text="1">
      <formula>NOT(ISERROR(SEARCH("1",K18)))</formula>
    </cfRule>
    <cfRule type="containsText" dxfId="94" priority="33" stopIfTrue="1" operator="containsText" text="2">
      <formula>NOT(ISERROR(SEARCH("2",K18)))</formula>
    </cfRule>
    <cfRule type="containsText" dxfId="93" priority="34" stopIfTrue="1" operator="containsText" text="3">
      <formula>NOT(ISERROR(SEARCH("3",K18)))</formula>
    </cfRule>
    <cfRule type="containsText" dxfId="92" priority="35" stopIfTrue="1" operator="containsText" text="4">
      <formula>NOT(ISERROR(SEARCH("4",K18)))</formula>
    </cfRule>
    <cfRule type="containsText" dxfId="91" priority="36" stopIfTrue="1" operator="containsText" text="5">
      <formula>NOT(ISERROR(SEARCH("5",K18)))</formula>
    </cfRule>
  </conditionalFormatting>
  <conditionalFormatting sqref="K21:L24">
    <cfRule type="containsText" dxfId="90" priority="25" stopIfTrue="1" operator="containsText" text="0">
      <formula>NOT(ISERROR(SEARCH("0",K21)))</formula>
    </cfRule>
    <cfRule type="containsText" dxfId="89" priority="26" stopIfTrue="1" operator="containsText" text="1">
      <formula>NOT(ISERROR(SEARCH("1",K21)))</formula>
    </cfRule>
    <cfRule type="containsText" dxfId="88" priority="27" stopIfTrue="1" operator="containsText" text="2">
      <formula>NOT(ISERROR(SEARCH("2",K21)))</formula>
    </cfRule>
    <cfRule type="containsText" dxfId="87" priority="28" stopIfTrue="1" operator="containsText" text="3">
      <formula>NOT(ISERROR(SEARCH("3",K21)))</formula>
    </cfRule>
    <cfRule type="containsText" dxfId="86" priority="29" stopIfTrue="1" operator="containsText" text="4">
      <formula>NOT(ISERROR(SEARCH("4",K21)))</formula>
    </cfRule>
    <cfRule type="containsText" dxfId="85" priority="30" stopIfTrue="1" operator="containsText" text="5">
      <formula>NOT(ISERROR(SEARCH("5",K21)))</formula>
    </cfRule>
  </conditionalFormatting>
  <conditionalFormatting sqref="K11:L11">
    <cfRule type="containsText" dxfId="84" priority="19" stopIfTrue="1" operator="containsText" text="0">
      <formula>NOT(ISERROR(SEARCH("0",K11)))</formula>
    </cfRule>
    <cfRule type="containsText" dxfId="83" priority="20" stopIfTrue="1" operator="containsText" text="1">
      <formula>NOT(ISERROR(SEARCH("1",K11)))</formula>
    </cfRule>
    <cfRule type="containsText" dxfId="82" priority="21" stopIfTrue="1" operator="containsText" text="2">
      <formula>NOT(ISERROR(SEARCH("2",K11)))</formula>
    </cfRule>
    <cfRule type="containsText" dxfId="81" priority="22" stopIfTrue="1" operator="containsText" text="3">
      <formula>NOT(ISERROR(SEARCH("3",K11)))</formula>
    </cfRule>
    <cfRule type="containsText" dxfId="80" priority="23" stopIfTrue="1" operator="containsText" text="4">
      <formula>NOT(ISERROR(SEARCH("4",K11)))</formula>
    </cfRule>
    <cfRule type="containsText" dxfId="79" priority="24" stopIfTrue="1" operator="containsText" text="5">
      <formula>NOT(ISERROR(SEARCH("5",K11)))</formula>
    </cfRule>
  </conditionalFormatting>
  <conditionalFormatting sqref="K27 K25:L26">
    <cfRule type="containsText" dxfId="78" priority="1" stopIfTrue="1" operator="containsText" text="0">
      <formula>NOT(ISERROR(SEARCH("0",K25)))</formula>
    </cfRule>
    <cfRule type="containsText" dxfId="77" priority="2" stopIfTrue="1" operator="containsText" text="1">
      <formula>NOT(ISERROR(SEARCH("1",K25)))</formula>
    </cfRule>
    <cfRule type="containsText" dxfId="76" priority="3" stopIfTrue="1" operator="containsText" text="2">
      <formula>NOT(ISERROR(SEARCH("2",K25)))</formula>
    </cfRule>
    <cfRule type="containsText" dxfId="75" priority="4" stopIfTrue="1" operator="containsText" text="3">
      <formula>NOT(ISERROR(SEARCH("3",K25)))</formula>
    </cfRule>
    <cfRule type="containsText" dxfId="74" priority="5" stopIfTrue="1" operator="containsText" text="4">
      <formula>NOT(ISERROR(SEARCH("4",K25)))</formula>
    </cfRule>
    <cfRule type="containsText" dxfId="73" priority="6" stopIfTrue="1" operator="containsText" text="5">
      <formula>NOT(ISERROR(SEARCH("5",K25)))</formula>
    </cfRule>
  </conditionalFormatting>
  <conditionalFormatting sqref="K20:L20">
    <cfRule type="containsText" dxfId="72" priority="37" stopIfTrue="1" operator="containsText" text="0">
      <formula>NOT(ISERROR(SEARCH("0",K20)))</formula>
    </cfRule>
    <cfRule type="containsText" dxfId="71" priority="38" stopIfTrue="1" operator="containsText" text="1">
      <formula>NOT(ISERROR(SEARCH("1",K20)))</formula>
    </cfRule>
    <cfRule type="containsText" dxfId="70" priority="39" stopIfTrue="1" operator="containsText" text="2">
      <formula>NOT(ISERROR(SEARCH("2",K20)))</formula>
    </cfRule>
    <cfRule type="containsText" dxfId="69" priority="40" stopIfTrue="1" operator="containsText" text="3">
      <formula>NOT(ISERROR(SEARCH("3",K20)))</formula>
    </cfRule>
    <cfRule type="containsText" dxfId="68" priority="41" stopIfTrue="1" operator="containsText" text="4">
      <formula>NOT(ISERROR(SEARCH("4",K20)))</formula>
    </cfRule>
    <cfRule type="containsText" dxfId="67" priority="42" stopIfTrue="1" operator="containsText" text="5">
      <formula>NOT(ISERROR(SEARCH("5",K20)))</formula>
    </cfRule>
  </conditionalFormatting>
  <conditionalFormatting sqref="K12:L17">
    <cfRule type="containsText" dxfId="66" priority="7" stopIfTrue="1" operator="containsText" text="0">
      <formula>NOT(ISERROR(SEARCH("0",K12)))</formula>
    </cfRule>
    <cfRule type="containsText" dxfId="65" priority="8" stopIfTrue="1" operator="containsText" text="1">
      <formula>NOT(ISERROR(SEARCH("1",K12)))</formula>
    </cfRule>
    <cfRule type="containsText" dxfId="64" priority="9" stopIfTrue="1" operator="containsText" text="2">
      <formula>NOT(ISERROR(SEARCH("2",K12)))</formula>
    </cfRule>
    <cfRule type="containsText" dxfId="63" priority="10" stopIfTrue="1" operator="containsText" text="3">
      <formula>NOT(ISERROR(SEARCH("3",K12)))</formula>
    </cfRule>
    <cfRule type="containsText" dxfId="62" priority="11" stopIfTrue="1" operator="containsText" text="4">
      <formula>NOT(ISERROR(SEARCH("4",K12)))</formula>
    </cfRule>
    <cfRule type="containsText" dxfId="61" priority="12" stopIfTrue="1" operator="containsText" text="5">
      <formula>NOT(ISERROR(SEARCH("5",K12)))</formula>
    </cfRule>
  </conditionalFormatting>
  <printOptions horizontalCentere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AddTargetLateral">
                <anchor moveWithCells="1" sizeWithCells="1">
                  <from>
                    <xdr:col>12</xdr:col>
                    <xdr:colOff>57150</xdr:colOff>
                    <xdr:row>5</xdr:row>
                    <xdr:rowOff>12700</xdr:rowOff>
                  </from>
                  <to>
                    <xdr:col>15</xdr:col>
                    <xdr:colOff>514350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5" name="Button 2">
              <controlPr defaultSize="0" print="0" autoFill="0" autoPict="0" macro="[0]!AddrowTL">
                <anchor moveWithCells="1" sizeWithCells="1">
                  <from>
                    <xdr:col>12</xdr:col>
                    <xdr:colOff>50800</xdr:colOff>
                    <xdr:row>0</xdr:row>
                    <xdr:rowOff>50800</xdr:rowOff>
                  </from>
                  <to>
                    <xdr:col>15</xdr:col>
                    <xdr:colOff>508000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6" name="Button 3">
              <controlPr defaultSize="0" print="0" autoFill="0" autoPict="0" macro="[0]!DeleteRowTL">
                <anchor moveWithCells="1" sizeWithCells="1">
                  <from>
                    <xdr:col>12</xdr:col>
                    <xdr:colOff>57150</xdr:colOff>
                    <xdr:row>1</xdr:row>
                    <xdr:rowOff>152400</xdr:rowOff>
                  </from>
                  <to>
                    <xdr:col>15</xdr:col>
                    <xdr:colOff>514350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pageSetUpPr fitToPage="1"/>
  </sheetPr>
  <dimension ref="A1:Y49"/>
  <sheetViews>
    <sheetView zoomScaleNormal="100" workbookViewId="0">
      <selection activeCell="E19" sqref="E19:J19"/>
    </sheetView>
  </sheetViews>
  <sheetFormatPr defaultRowHeight="12.5"/>
  <cols>
    <col min="1" max="1" width="7.453125" customWidth="1"/>
    <col min="2" max="2" width="8.54296875" customWidth="1"/>
    <col min="3" max="12" width="7.453125" customWidth="1"/>
    <col min="13" max="13" width="9.1796875" style="23"/>
    <col min="17" max="22" width="15.7265625" customWidth="1"/>
  </cols>
  <sheetData>
    <row r="1" spans="1:25" s="15" customFormat="1" ht="23">
      <c r="A1" s="350" t="s">
        <v>105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160"/>
      <c r="N1" s="161"/>
      <c r="O1" s="161"/>
      <c r="P1" s="161"/>
      <c r="Q1"/>
      <c r="R1" s="127" t="s">
        <v>128</v>
      </c>
      <c r="S1" s="127"/>
      <c r="T1" s="127"/>
      <c r="U1"/>
      <c r="W1"/>
      <c r="X1"/>
      <c r="Y1"/>
    </row>
    <row r="2" spans="1:25" ht="14.5">
      <c r="A2" s="412"/>
      <c r="B2" s="412"/>
      <c r="C2" s="412"/>
      <c r="D2" s="412"/>
      <c r="E2" s="412"/>
      <c r="F2" s="412"/>
      <c r="G2" s="412"/>
      <c r="H2" s="412"/>
      <c r="I2" s="412"/>
      <c r="J2" s="412"/>
      <c r="K2" s="412"/>
      <c r="L2" s="412"/>
      <c r="M2" s="162"/>
      <c r="N2" s="127"/>
      <c r="O2" s="127"/>
      <c r="P2" s="127"/>
      <c r="Q2" s="149" t="s">
        <v>126</v>
      </c>
      <c r="R2" s="126" t="s">
        <v>124</v>
      </c>
    </row>
    <row r="3" spans="1:25" ht="14.5">
      <c r="A3" s="413" t="s">
        <v>101</v>
      </c>
      <c r="B3" s="413"/>
      <c r="C3" s="413"/>
      <c r="D3" s="413"/>
      <c r="E3" s="413"/>
      <c r="F3" s="413"/>
      <c r="G3" s="413"/>
      <c r="H3" s="413"/>
      <c r="I3" s="413"/>
      <c r="J3" s="413"/>
      <c r="K3" s="413"/>
      <c r="L3" s="413"/>
      <c r="M3" s="162"/>
      <c r="N3" s="127"/>
      <c r="O3" s="127"/>
      <c r="P3" s="127"/>
      <c r="Q3" s="149" t="s">
        <v>127</v>
      </c>
      <c r="R3" s="126" t="s">
        <v>125</v>
      </c>
    </row>
    <row r="4" spans="1:25">
      <c r="A4" s="412"/>
      <c r="B4" s="412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162"/>
      <c r="N4" s="127"/>
      <c r="O4" s="127"/>
      <c r="P4" s="127"/>
    </row>
    <row r="5" spans="1:25" ht="23">
      <c r="A5" s="400" t="s">
        <v>169</v>
      </c>
      <c r="B5" s="400"/>
      <c r="C5" s="400"/>
      <c r="D5" s="400"/>
      <c r="E5" s="400"/>
      <c r="F5" s="400"/>
      <c r="G5" s="400"/>
      <c r="H5" s="400"/>
      <c r="I5" s="400"/>
      <c r="J5" s="400"/>
      <c r="K5" s="400"/>
      <c r="L5" s="400"/>
    </row>
    <row r="6" spans="1:25" ht="17.25" customHeight="1">
      <c r="A6" s="386" t="s">
        <v>85</v>
      </c>
      <c r="B6" s="386"/>
      <c r="C6" s="386"/>
      <c r="D6" s="386"/>
      <c r="E6" s="386"/>
      <c r="F6" s="386"/>
      <c r="G6" s="386"/>
      <c r="H6" s="386"/>
      <c r="I6" s="386"/>
      <c r="J6" s="386"/>
      <c r="K6" s="386"/>
      <c r="L6" s="386"/>
      <c r="Q6" s="396" t="s">
        <v>151</v>
      </c>
      <c r="R6" s="396"/>
      <c r="S6" s="396"/>
      <c r="T6" s="396"/>
      <c r="U6" s="396"/>
      <c r="V6" s="396"/>
    </row>
    <row r="7" spans="1:25" ht="13.15" customHeight="1">
      <c r="A7" s="401" t="s">
        <v>86</v>
      </c>
      <c r="B7" s="402"/>
      <c r="C7" s="403" t="s">
        <v>87</v>
      </c>
      <c r="D7" s="402"/>
      <c r="E7" s="404"/>
      <c r="F7" s="405"/>
      <c r="G7" s="405"/>
      <c r="H7" s="405"/>
      <c r="I7" s="405"/>
      <c r="J7" s="406"/>
      <c r="K7" s="407" t="s">
        <v>107</v>
      </c>
      <c r="L7" s="408"/>
      <c r="Q7" s="397" t="s">
        <v>152</v>
      </c>
      <c r="R7" s="397"/>
      <c r="S7" s="398"/>
      <c r="T7" s="399" t="s">
        <v>153</v>
      </c>
      <c r="U7" s="397"/>
      <c r="V7" s="398"/>
    </row>
    <row r="8" spans="1:25" ht="13">
      <c r="A8" s="164" t="s">
        <v>46</v>
      </c>
      <c r="B8" s="108" t="s">
        <v>47</v>
      </c>
      <c r="C8" s="108" t="s">
        <v>88</v>
      </c>
      <c r="D8" s="109" t="s">
        <v>89</v>
      </c>
      <c r="E8" s="409" t="s">
        <v>90</v>
      </c>
      <c r="F8" s="410"/>
      <c r="G8" s="410"/>
      <c r="H8" s="410"/>
      <c r="I8" s="410"/>
      <c r="J8" s="411"/>
      <c r="K8" s="410" t="s">
        <v>91</v>
      </c>
      <c r="L8" s="410"/>
      <c r="Q8" s="144" t="s">
        <v>154</v>
      </c>
      <c r="R8" s="145" t="s">
        <v>155</v>
      </c>
      <c r="S8" s="150" t="s">
        <v>156</v>
      </c>
      <c r="T8" s="151" t="s">
        <v>154</v>
      </c>
      <c r="U8" s="146" t="s">
        <v>155</v>
      </c>
      <c r="V8" s="150" t="s">
        <v>156</v>
      </c>
    </row>
    <row r="9" spans="1:25">
      <c r="A9" s="129"/>
      <c r="B9" s="77"/>
      <c r="C9" s="134"/>
      <c r="D9" s="135"/>
      <c r="E9" s="421"/>
      <c r="F9" s="422"/>
      <c r="G9" s="422"/>
      <c r="H9" s="422"/>
      <c r="I9" s="422"/>
      <c r="J9" s="423"/>
      <c r="K9" s="391"/>
      <c r="L9" s="392"/>
      <c r="N9" s="133"/>
      <c r="Q9" s="77"/>
      <c r="R9" s="77">
        <f>'Well Data'!$F$45-S9</f>
        <v>688.9</v>
      </c>
      <c r="S9" s="154"/>
      <c r="T9" s="152"/>
      <c r="U9" s="77">
        <f>'Well Data'!$F$45-V9</f>
        <v>688.9</v>
      </c>
      <c r="V9" s="153"/>
      <c r="W9" s="147"/>
    </row>
    <row r="10" spans="1:25">
      <c r="A10" s="129" t="str">
        <f>IF(B9=0, "", B9)</f>
        <v/>
      </c>
      <c r="B10" s="77"/>
      <c r="C10" s="134"/>
      <c r="D10" s="135"/>
      <c r="E10" s="421"/>
      <c r="F10" s="422"/>
      <c r="G10" s="422"/>
      <c r="H10" s="422"/>
      <c r="I10" s="422"/>
      <c r="J10" s="423"/>
      <c r="K10" s="391"/>
      <c r="L10" s="392"/>
      <c r="N10" s="133"/>
      <c r="Q10" s="77"/>
      <c r="R10" s="77">
        <f>'Well Data'!$F$45-S10</f>
        <v>688.9</v>
      </c>
      <c r="S10" s="154"/>
      <c r="T10" s="152"/>
      <c r="U10" s="77">
        <f>'Well Data'!$F$45-V10</f>
        <v>688.9</v>
      </c>
      <c r="V10" s="153"/>
      <c r="W10" s="147"/>
    </row>
    <row r="11" spans="1:25">
      <c r="A11" s="129" t="str">
        <f t="shared" ref="A11:A28" si="0">IF(B10=0, "", B10)</f>
        <v/>
      </c>
      <c r="B11" s="77"/>
      <c r="C11" s="134"/>
      <c r="D11" s="135"/>
      <c r="E11" s="421"/>
      <c r="F11" s="422"/>
      <c r="G11" s="422"/>
      <c r="H11" s="422"/>
      <c r="I11" s="422"/>
      <c r="J11" s="423"/>
      <c r="K11" s="391"/>
      <c r="L11" s="392"/>
      <c r="N11" s="133"/>
      <c r="Q11" s="77"/>
      <c r="R11" s="77">
        <f>'Well Data'!$F$45-S11</f>
        <v>688.9</v>
      </c>
      <c r="S11" s="154"/>
      <c r="T11" s="152"/>
      <c r="U11" s="77">
        <f>'Well Data'!$F$45-V11</f>
        <v>688.9</v>
      </c>
      <c r="V11" s="153"/>
      <c r="W11" s="147"/>
    </row>
    <row r="12" spans="1:25">
      <c r="A12" s="129" t="str">
        <f t="shared" si="0"/>
        <v/>
      </c>
      <c r="B12" s="77"/>
      <c r="C12" s="134"/>
      <c r="D12" s="135"/>
      <c r="E12" s="421"/>
      <c r="F12" s="422"/>
      <c r="G12" s="422"/>
      <c r="H12" s="422"/>
      <c r="I12" s="422"/>
      <c r="J12" s="423"/>
      <c r="K12" s="391"/>
      <c r="L12" s="392"/>
      <c r="N12" s="133"/>
      <c r="Q12" s="77"/>
      <c r="R12" s="77">
        <f>'Well Data'!$F$45-S12</f>
        <v>688.9</v>
      </c>
      <c r="S12" s="154"/>
      <c r="T12" s="152"/>
      <c r="U12" s="77">
        <f>'Well Data'!$F$45-V12</f>
        <v>688.9</v>
      </c>
      <c r="V12" s="153"/>
      <c r="W12" s="147"/>
    </row>
    <row r="13" spans="1:25">
      <c r="A13" s="129" t="str">
        <f t="shared" si="0"/>
        <v/>
      </c>
      <c r="B13" s="77"/>
      <c r="C13" s="134"/>
      <c r="D13" s="135"/>
      <c r="E13" s="421"/>
      <c r="F13" s="422"/>
      <c r="G13" s="422"/>
      <c r="H13" s="422"/>
      <c r="I13" s="422"/>
      <c r="J13" s="423"/>
      <c r="K13" s="391"/>
      <c r="L13" s="392"/>
      <c r="N13" s="133"/>
      <c r="Q13" s="77"/>
      <c r="R13" s="77">
        <f>'Well Data'!$F$45-S13</f>
        <v>688.9</v>
      </c>
      <c r="S13" s="154"/>
      <c r="T13" s="152"/>
      <c r="U13" s="77">
        <f>'Well Data'!$F$45-V13</f>
        <v>688.9</v>
      </c>
      <c r="V13" s="153"/>
      <c r="W13" s="147"/>
    </row>
    <row r="14" spans="1:25">
      <c r="A14" s="129" t="str">
        <f t="shared" si="0"/>
        <v/>
      </c>
      <c r="B14" s="77"/>
      <c r="C14" s="134"/>
      <c r="D14" s="135"/>
      <c r="E14" s="421"/>
      <c r="F14" s="422"/>
      <c r="G14" s="422"/>
      <c r="H14" s="422"/>
      <c r="I14" s="422"/>
      <c r="J14" s="423"/>
      <c r="K14" s="391"/>
      <c r="L14" s="392"/>
      <c r="N14" s="133"/>
      <c r="Q14" s="77"/>
      <c r="R14" s="77">
        <f>'Well Data'!$F$45-S14</f>
        <v>688.9</v>
      </c>
      <c r="S14" s="154"/>
      <c r="T14" s="152"/>
      <c r="U14" s="77">
        <f>'Well Data'!$F$45-V14</f>
        <v>688.9</v>
      </c>
      <c r="V14" s="153"/>
      <c r="W14" s="148"/>
    </row>
    <row r="15" spans="1:25">
      <c r="A15" s="129" t="str">
        <f t="shared" si="0"/>
        <v/>
      </c>
      <c r="B15" s="77"/>
      <c r="C15" s="134"/>
      <c r="D15" s="135"/>
      <c r="E15" s="421"/>
      <c r="F15" s="422"/>
      <c r="G15" s="422"/>
      <c r="H15" s="422"/>
      <c r="I15" s="422"/>
      <c r="J15" s="423"/>
      <c r="K15" s="391"/>
      <c r="L15" s="392"/>
      <c r="N15" s="133"/>
      <c r="Q15" s="77"/>
      <c r="R15" s="77">
        <f>'Well Data'!$F$45-S15</f>
        <v>688.9</v>
      </c>
      <c r="S15" s="154"/>
      <c r="T15" s="152"/>
      <c r="U15" s="77">
        <f>'Well Data'!$F$45-V15</f>
        <v>688.9</v>
      </c>
      <c r="V15" s="153"/>
      <c r="W15" s="147"/>
    </row>
    <row r="16" spans="1:25">
      <c r="A16" s="129" t="str">
        <f t="shared" si="0"/>
        <v/>
      </c>
      <c r="B16" s="77"/>
      <c r="C16" s="134"/>
      <c r="D16" s="135"/>
      <c r="E16" s="421"/>
      <c r="F16" s="422"/>
      <c r="G16" s="422"/>
      <c r="H16" s="422"/>
      <c r="I16" s="422"/>
      <c r="J16" s="423"/>
      <c r="K16" s="391"/>
      <c r="L16" s="392"/>
      <c r="N16" s="133"/>
      <c r="Q16" s="77"/>
      <c r="R16" s="77">
        <f>'Well Data'!$F$45-S16</f>
        <v>688.9</v>
      </c>
      <c r="S16" s="154"/>
      <c r="T16" s="152"/>
      <c r="U16" s="77">
        <f>'Well Data'!$F$45-V16</f>
        <v>688.9</v>
      </c>
      <c r="V16" s="153"/>
      <c r="W16" s="147"/>
    </row>
    <row r="17" spans="1:23">
      <c r="A17" s="129" t="str">
        <f t="shared" si="0"/>
        <v/>
      </c>
      <c r="B17" s="77"/>
      <c r="C17" s="134"/>
      <c r="D17" s="135"/>
      <c r="E17" s="421"/>
      <c r="F17" s="422"/>
      <c r="G17" s="422"/>
      <c r="H17" s="422"/>
      <c r="I17" s="422"/>
      <c r="J17" s="423"/>
      <c r="K17" s="391"/>
      <c r="L17" s="392"/>
      <c r="N17" s="133"/>
      <c r="Q17" s="77"/>
      <c r="R17" s="77">
        <f>'Well Data'!$F$45-S17</f>
        <v>688.9</v>
      </c>
      <c r="S17" s="154"/>
      <c r="T17" s="152"/>
      <c r="U17" s="77">
        <f>'Well Data'!$F$45-V17</f>
        <v>688.9</v>
      </c>
      <c r="V17" s="153"/>
      <c r="W17" s="147"/>
    </row>
    <row r="18" spans="1:23">
      <c r="A18" s="129" t="str">
        <f t="shared" si="0"/>
        <v/>
      </c>
      <c r="B18" s="77"/>
      <c r="C18" s="134"/>
      <c r="D18" s="135"/>
      <c r="E18" s="421"/>
      <c r="F18" s="422"/>
      <c r="G18" s="422"/>
      <c r="H18" s="422"/>
      <c r="I18" s="422"/>
      <c r="J18" s="423"/>
      <c r="K18" s="391"/>
      <c r="L18" s="392"/>
      <c r="N18" s="133"/>
      <c r="Q18" s="77"/>
      <c r="R18" s="77">
        <f>'Well Data'!$F$45-S18</f>
        <v>688.9</v>
      </c>
      <c r="S18" s="154"/>
      <c r="T18" s="152"/>
      <c r="U18" s="77">
        <f>'Well Data'!$F$45-V18</f>
        <v>688.9</v>
      </c>
      <c r="V18" s="153"/>
      <c r="W18" s="147"/>
    </row>
    <row r="19" spans="1:23">
      <c r="A19" s="129" t="str">
        <f t="shared" si="0"/>
        <v/>
      </c>
      <c r="B19" s="77"/>
      <c r="C19" s="134"/>
      <c r="D19" s="135"/>
      <c r="E19" s="421"/>
      <c r="F19" s="422"/>
      <c r="G19" s="422"/>
      <c r="H19" s="422"/>
      <c r="I19" s="422"/>
      <c r="J19" s="423"/>
      <c r="K19" s="391"/>
      <c r="L19" s="392"/>
      <c r="N19" s="133"/>
      <c r="Q19" s="77"/>
      <c r="R19" s="77">
        <f>'Well Data'!$F$45-S19</f>
        <v>688.9</v>
      </c>
      <c r="S19" s="154"/>
      <c r="T19" s="152"/>
      <c r="U19" s="77">
        <f>'Well Data'!$F$45-V19</f>
        <v>688.9</v>
      </c>
      <c r="V19" s="153"/>
      <c r="W19" s="147"/>
    </row>
    <row r="20" spans="1:23">
      <c r="A20" s="129" t="str">
        <f t="shared" si="0"/>
        <v/>
      </c>
      <c r="B20" s="77"/>
      <c r="C20" s="134"/>
      <c r="D20" s="135"/>
      <c r="E20" s="421"/>
      <c r="F20" s="422"/>
      <c r="G20" s="422"/>
      <c r="H20" s="422"/>
      <c r="I20" s="422"/>
      <c r="J20" s="423"/>
      <c r="K20" s="391"/>
      <c r="L20" s="392"/>
      <c r="N20" s="133"/>
      <c r="Q20" s="77"/>
      <c r="R20" s="77">
        <f>'Well Data'!$F$45-S20</f>
        <v>688.9</v>
      </c>
      <c r="S20" s="154"/>
      <c r="T20" s="152"/>
      <c r="U20" s="77">
        <f>'Well Data'!$F$45-V20</f>
        <v>688.9</v>
      </c>
      <c r="V20" s="153"/>
      <c r="W20" s="147"/>
    </row>
    <row r="21" spans="1:23">
      <c r="A21" s="129" t="str">
        <f t="shared" si="0"/>
        <v/>
      </c>
      <c r="B21" s="77"/>
      <c r="C21" s="134"/>
      <c r="D21" s="135"/>
      <c r="E21" s="421"/>
      <c r="F21" s="422"/>
      <c r="G21" s="422"/>
      <c r="H21" s="422"/>
      <c r="I21" s="422"/>
      <c r="J21" s="423"/>
      <c r="K21" s="391"/>
      <c r="L21" s="392"/>
      <c r="N21" s="133"/>
      <c r="Q21" s="77"/>
      <c r="R21" s="77">
        <f>'Well Data'!$F$45-S21</f>
        <v>688.9</v>
      </c>
      <c r="S21" s="154"/>
      <c r="T21" s="152"/>
      <c r="U21" s="77">
        <f>'Well Data'!$F$45-V21</f>
        <v>688.9</v>
      </c>
      <c r="V21" s="153"/>
      <c r="W21" s="147"/>
    </row>
    <row r="22" spans="1:23">
      <c r="A22" s="129" t="str">
        <f t="shared" si="0"/>
        <v/>
      </c>
      <c r="B22" s="77"/>
      <c r="C22" s="134"/>
      <c r="D22" s="135"/>
      <c r="E22" s="421"/>
      <c r="F22" s="422"/>
      <c r="G22" s="422"/>
      <c r="H22" s="422"/>
      <c r="I22" s="422"/>
      <c r="J22" s="423"/>
      <c r="K22" s="391"/>
      <c r="L22" s="392"/>
      <c r="N22" s="133"/>
      <c r="Q22" s="77"/>
      <c r="R22" s="77">
        <f>'Well Data'!$F$45-S22</f>
        <v>688.9</v>
      </c>
      <c r="S22" s="154"/>
      <c r="T22" s="152"/>
      <c r="U22" s="77">
        <f>'Well Data'!$F$45-V22</f>
        <v>688.9</v>
      </c>
      <c r="V22" s="153"/>
      <c r="W22" s="147"/>
    </row>
    <row r="23" spans="1:23">
      <c r="A23" s="129" t="str">
        <f t="shared" si="0"/>
        <v/>
      </c>
      <c r="B23" s="77"/>
      <c r="C23" s="134"/>
      <c r="D23" s="135"/>
      <c r="E23" s="421"/>
      <c r="F23" s="422"/>
      <c r="G23" s="422"/>
      <c r="H23" s="422"/>
      <c r="I23" s="422"/>
      <c r="J23" s="423"/>
      <c r="K23" s="391"/>
      <c r="L23" s="392"/>
      <c r="N23" s="133"/>
      <c r="Q23" s="77"/>
      <c r="R23" s="77">
        <f>'Well Data'!$F$45-S23</f>
        <v>688.9</v>
      </c>
      <c r="S23" s="154"/>
      <c r="T23" s="152"/>
      <c r="U23" s="77">
        <f>'Well Data'!$F$45-V23</f>
        <v>688.9</v>
      </c>
      <c r="V23" s="153"/>
      <c r="W23" s="147"/>
    </row>
    <row r="24" spans="1:23">
      <c r="A24" s="129" t="str">
        <f t="shared" si="0"/>
        <v/>
      </c>
      <c r="B24" s="77"/>
      <c r="C24" s="134"/>
      <c r="D24" s="135"/>
      <c r="E24" s="421"/>
      <c r="F24" s="422"/>
      <c r="G24" s="422"/>
      <c r="H24" s="422"/>
      <c r="I24" s="422"/>
      <c r="J24" s="423"/>
      <c r="K24" s="391"/>
      <c r="L24" s="392"/>
      <c r="N24" s="133"/>
      <c r="Q24" s="77"/>
      <c r="R24" s="77">
        <f>'Well Data'!$F$45-S24</f>
        <v>688.9</v>
      </c>
      <c r="S24" s="154"/>
      <c r="T24" s="152"/>
      <c r="U24" s="77">
        <f>'Well Data'!$F$45-V24</f>
        <v>688.9</v>
      </c>
      <c r="V24" s="153"/>
      <c r="W24" s="147"/>
    </row>
    <row r="25" spans="1:23">
      <c r="A25" s="129" t="str">
        <f t="shared" si="0"/>
        <v/>
      </c>
      <c r="B25" s="77"/>
      <c r="C25" s="134"/>
      <c r="D25" s="135"/>
      <c r="E25" s="421"/>
      <c r="F25" s="422"/>
      <c r="G25" s="422"/>
      <c r="H25" s="422"/>
      <c r="I25" s="422"/>
      <c r="J25" s="423"/>
      <c r="K25" s="391"/>
      <c r="L25" s="392"/>
      <c r="N25" s="133"/>
      <c r="Q25" s="77"/>
      <c r="R25" s="77">
        <f>'Well Data'!$F$45-S25</f>
        <v>688.9</v>
      </c>
      <c r="S25" s="154"/>
      <c r="T25" s="152"/>
      <c r="U25" s="77">
        <f>'Well Data'!$F$45-V25</f>
        <v>688.9</v>
      </c>
      <c r="V25" s="153"/>
      <c r="W25" s="147"/>
    </row>
    <row r="26" spans="1:23">
      <c r="A26" s="129" t="str">
        <f t="shared" si="0"/>
        <v/>
      </c>
      <c r="B26" s="77"/>
      <c r="C26" s="134"/>
      <c r="D26" s="135"/>
      <c r="E26" s="428"/>
      <c r="F26" s="429"/>
      <c r="G26" s="429"/>
      <c r="H26" s="429"/>
      <c r="I26" s="429"/>
      <c r="J26" s="430"/>
      <c r="K26" s="391"/>
      <c r="L26" s="392"/>
      <c r="N26" s="133"/>
      <c r="Q26" s="155"/>
      <c r="R26" s="77">
        <f>'Well Data'!$F$45-S26</f>
        <v>688.9</v>
      </c>
      <c r="S26" s="154"/>
      <c r="T26" s="156"/>
      <c r="U26" s="77">
        <f>'Well Data'!$F$45-V26</f>
        <v>688.9</v>
      </c>
      <c r="V26" s="154"/>
    </row>
    <row r="27" spans="1:23">
      <c r="A27" s="129" t="str">
        <f t="shared" si="0"/>
        <v/>
      </c>
      <c r="B27" s="77"/>
      <c r="C27" s="134"/>
      <c r="D27" s="135"/>
      <c r="E27" s="428"/>
      <c r="F27" s="429"/>
      <c r="G27" s="429"/>
      <c r="H27" s="429"/>
      <c r="I27" s="429"/>
      <c r="J27" s="430"/>
      <c r="K27" s="414"/>
      <c r="L27" s="417"/>
      <c r="N27" s="133"/>
      <c r="Q27" s="155"/>
      <c r="R27" s="77">
        <f>'Well Data'!$F$45-S27</f>
        <v>688.9</v>
      </c>
      <c r="S27" s="154"/>
      <c r="T27" s="156"/>
      <c r="U27" s="77">
        <f>'Well Data'!$F$45-V27</f>
        <v>688.9</v>
      </c>
      <c r="V27" s="154"/>
    </row>
    <row r="28" spans="1:23">
      <c r="A28" s="129" t="str">
        <f t="shared" si="0"/>
        <v/>
      </c>
      <c r="B28" s="77"/>
      <c r="C28" s="134"/>
      <c r="D28" s="135"/>
      <c r="E28" s="421"/>
      <c r="F28" s="422"/>
      <c r="G28" s="422"/>
      <c r="H28" s="422"/>
      <c r="I28" s="422"/>
      <c r="J28" s="423"/>
      <c r="K28" s="391"/>
      <c r="L28" s="392"/>
      <c r="Q28" s="155"/>
      <c r="R28" s="77">
        <f>'Well Data'!$F$45-S28</f>
        <v>688.9</v>
      </c>
      <c r="S28" s="154"/>
      <c r="T28" s="156"/>
      <c r="U28" s="77">
        <f>'Well Data'!$F$45-V28</f>
        <v>688.9</v>
      </c>
      <c r="V28" s="154"/>
    </row>
    <row r="29" spans="1:23">
      <c r="A29" s="129"/>
      <c r="B29" s="77"/>
      <c r="C29" s="134"/>
      <c r="D29" s="135"/>
      <c r="E29" s="421"/>
      <c r="F29" s="422"/>
      <c r="G29" s="422"/>
      <c r="H29" s="422"/>
      <c r="I29" s="422"/>
      <c r="J29" s="423"/>
      <c r="K29" s="391"/>
      <c r="L29" s="392"/>
      <c r="Q29" s="155"/>
      <c r="R29" s="77">
        <f>'Well Data'!$F$45-S29</f>
        <v>688.9</v>
      </c>
      <c r="S29" s="154"/>
      <c r="T29" s="156"/>
      <c r="U29" s="77">
        <f>'Well Data'!$F$45-V29</f>
        <v>688.9</v>
      </c>
      <c r="V29" s="154"/>
    </row>
    <row r="30" spans="1:23" ht="13">
      <c r="A30" s="386" t="s">
        <v>97</v>
      </c>
      <c r="B30" s="387"/>
      <c r="C30" s="387"/>
      <c r="D30" s="387"/>
      <c r="E30" s="387"/>
      <c r="F30" s="387"/>
      <c r="G30" s="387"/>
      <c r="H30" s="387"/>
      <c r="I30" s="387"/>
      <c r="J30" s="387"/>
      <c r="K30" s="387"/>
      <c r="L30" s="387"/>
    </row>
    <row r="31" spans="1:23">
      <c r="A31" s="110">
        <v>5</v>
      </c>
      <c r="B31" s="383"/>
      <c r="C31" s="384"/>
      <c r="D31" s="384"/>
      <c r="E31" s="384"/>
      <c r="F31" s="384"/>
      <c r="G31" s="384"/>
      <c r="H31" s="384"/>
      <c r="I31" s="384"/>
      <c r="J31" s="384"/>
      <c r="K31" s="384"/>
      <c r="L31" s="385"/>
    </row>
    <row r="32" spans="1:23">
      <c r="A32" s="110">
        <v>4</v>
      </c>
      <c r="B32" s="383"/>
      <c r="C32" s="384"/>
      <c r="D32" s="384"/>
      <c r="E32" s="384"/>
      <c r="F32" s="384"/>
      <c r="G32" s="384"/>
      <c r="H32" s="384"/>
      <c r="I32" s="384"/>
      <c r="J32" s="384"/>
      <c r="K32" s="384"/>
      <c r="L32" s="385"/>
    </row>
    <row r="33" spans="1:12" ht="12.75" customHeight="1">
      <c r="A33" s="110">
        <v>3</v>
      </c>
      <c r="B33" s="383"/>
      <c r="C33" s="384"/>
      <c r="D33" s="384"/>
      <c r="E33" s="384"/>
      <c r="F33" s="384"/>
      <c r="G33" s="384"/>
      <c r="H33" s="384"/>
      <c r="I33" s="384"/>
      <c r="J33" s="384"/>
      <c r="K33" s="384"/>
      <c r="L33" s="385"/>
    </row>
    <row r="34" spans="1:12" ht="12.75" customHeight="1">
      <c r="A34" s="110">
        <v>2</v>
      </c>
      <c r="B34" s="383"/>
      <c r="C34" s="384"/>
      <c r="D34" s="384"/>
      <c r="E34" s="384"/>
      <c r="F34" s="384"/>
      <c r="G34" s="384"/>
      <c r="H34" s="384"/>
      <c r="I34" s="384"/>
      <c r="J34" s="384"/>
      <c r="K34" s="384"/>
      <c r="L34" s="385"/>
    </row>
    <row r="35" spans="1:12" ht="12.75" customHeight="1">
      <c r="A35" s="110">
        <v>1</v>
      </c>
      <c r="B35" s="383"/>
      <c r="C35" s="384"/>
      <c r="D35" s="384"/>
      <c r="E35" s="384"/>
      <c r="F35" s="384"/>
      <c r="G35" s="384"/>
      <c r="H35" s="384"/>
      <c r="I35" s="384"/>
      <c r="J35" s="384"/>
      <c r="K35" s="384"/>
      <c r="L35" s="385"/>
    </row>
    <row r="36" spans="1:12" ht="12.75" customHeight="1">
      <c r="A36" s="110">
        <v>0</v>
      </c>
      <c r="B36" s="383"/>
      <c r="C36" s="384"/>
      <c r="D36" s="384"/>
      <c r="E36" s="384"/>
      <c r="F36" s="384"/>
      <c r="G36" s="384"/>
      <c r="H36" s="384"/>
      <c r="I36" s="384"/>
      <c r="J36" s="384"/>
      <c r="K36" s="384"/>
      <c r="L36" s="385"/>
    </row>
    <row r="37" spans="1:12" ht="12.75" customHeight="1">
      <c r="A37" s="381"/>
      <c r="B37" s="382"/>
      <c r="C37" s="382"/>
      <c r="D37" s="382"/>
      <c r="E37" s="382"/>
      <c r="F37" s="382"/>
      <c r="G37" s="382"/>
      <c r="H37" s="382"/>
      <c r="I37" s="382"/>
      <c r="J37" s="382"/>
      <c r="K37" s="382"/>
      <c r="L37" s="382"/>
    </row>
    <row r="38" spans="1:12" ht="12.75" customHeight="1">
      <c r="A38" s="387" t="s">
        <v>161</v>
      </c>
      <c r="B38" s="387"/>
      <c r="C38" s="387"/>
      <c r="D38" s="387"/>
      <c r="E38" s="387"/>
      <c r="F38" s="387"/>
      <c r="G38" s="387"/>
      <c r="H38" s="387"/>
      <c r="I38" s="387"/>
      <c r="J38" s="387"/>
      <c r="K38" s="387"/>
      <c r="L38" s="387"/>
    </row>
    <row r="39" spans="1:12" ht="12.75" customHeight="1">
      <c r="A39" s="394"/>
      <c r="B39" s="394"/>
      <c r="C39" s="394"/>
      <c r="D39" s="394"/>
      <c r="E39" s="394"/>
      <c r="F39" s="394"/>
      <c r="G39" s="394"/>
      <c r="H39" s="394"/>
      <c r="I39" s="394"/>
      <c r="J39" s="394"/>
      <c r="K39" s="394"/>
      <c r="L39" s="394"/>
    </row>
    <row r="40" spans="1:12">
      <c r="A40" s="395"/>
      <c r="B40" s="395"/>
      <c r="C40" s="395"/>
      <c r="D40" s="395"/>
      <c r="E40" s="395"/>
      <c r="F40" s="395"/>
      <c r="G40" s="395"/>
      <c r="H40" s="395"/>
      <c r="I40" s="395"/>
      <c r="J40" s="395"/>
      <c r="K40" s="395"/>
      <c r="L40" s="395"/>
    </row>
    <row r="41" spans="1:12">
      <c r="A41" s="384"/>
      <c r="B41" s="384"/>
      <c r="C41" s="384"/>
      <c r="D41" s="384"/>
      <c r="E41" s="384"/>
      <c r="F41" s="384"/>
      <c r="G41" s="384"/>
      <c r="H41" s="384"/>
      <c r="I41" s="384"/>
      <c r="J41" s="384"/>
      <c r="K41" s="384"/>
      <c r="L41" s="384"/>
    </row>
    <row r="42" spans="1:12" ht="12.75" customHeight="1">
      <c r="A42" s="384"/>
      <c r="B42" s="384"/>
      <c r="C42" s="384"/>
      <c r="D42" s="384"/>
      <c r="E42" s="384"/>
      <c r="F42" s="384"/>
      <c r="G42" s="384"/>
      <c r="H42" s="384"/>
      <c r="I42" s="384"/>
      <c r="J42" s="384"/>
      <c r="K42" s="384"/>
      <c r="L42" s="384"/>
    </row>
    <row r="43" spans="1:12" ht="12.75" customHeight="1">
      <c r="A43" s="384"/>
      <c r="B43" s="384"/>
      <c r="C43" s="384"/>
      <c r="D43" s="384"/>
      <c r="E43" s="384"/>
      <c r="F43" s="384"/>
      <c r="G43" s="384"/>
      <c r="H43" s="384"/>
      <c r="I43" s="384"/>
      <c r="J43" s="384"/>
      <c r="K43" s="384"/>
      <c r="L43" s="384"/>
    </row>
    <row r="44" spans="1:12" ht="12.75" customHeight="1">
      <c r="A44" s="384"/>
      <c r="B44" s="384"/>
      <c r="C44" s="384"/>
      <c r="D44" s="384"/>
      <c r="E44" s="384"/>
      <c r="F44" s="384"/>
      <c r="G44" s="384"/>
      <c r="H44" s="384"/>
      <c r="I44" s="384"/>
      <c r="J44" s="384"/>
      <c r="K44" s="384"/>
      <c r="L44" s="384"/>
    </row>
    <row r="45" spans="1:12" ht="12.75" customHeight="1">
      <c r="A45" s="393"/>
      <c r="B45" s="393"/>
      <c r="C45" s="393"/>
      <c r="D45" s="393"/>
      <c r="E45" s="393"/>
      <c r="F45" s="393"/>
      <c r="G45" s="393"/>
      <c r="H45" s="393"/>
      <c r="I45" s="393"/>
      <c r="J45" s="393"/>
      <c r="K45" s="393"/>
      <c r="L45" s="393"/>
    </row>
    <row r="46" spans="1:12" ht="12.75" customHeight="1"/>
    <row r="47" spans="1:12" ht="12.75" customHeight="1"/>
    <row r="48" spans="1:12" ht="12.75" customHeight="1"/>
    <row r="49" ht="12.75" customHeight="1"/>
  </sheetData>
  <sheetProtection formatCells="0"/>
  <mergeCells count="73">
    <mergeCell ref="A1:L1"/>
    <mergeCell ref="A2:L2"/>
    <mergeCell ref="A3:L3"/>
    <mergeCell ref="A4:L4"/>
    <mergeCell ref="A5:L5"/>
    <mergeCell ref="Q6:V6"/>
    <mergeCell ref="A7:B7"/>
    <mergeCell ref="C7:D7"/>
    <mergeCell ref="E7:J7"/>
    <mergeCell ref="K7:L7"/>
    <mergeCell ref="Q7:S7"/>
    <mergeCell ref="T7:V7"/>
    <mergeCell ref="A6:L6"/>
    <mergeCell ref="E8:J8"/>
    <mergeCell ref="K8:L8"/>
    <mergeCell ref="E9:J9"/>
    <mergeCell ref="K9:L9"/>
    <mergeCell ref="E10:J10"/>
    <mergeCell ref="K10:L10"/>
    <mergeCell ref="E11:J11"/>
    <mergeCell ref="K11:L11"/>
    <mergeCell ref="E12:J12"/>
    <mergeCell ref="K12:L12"/>
    <mergeCell ref="E13:J13"/>
    <mergeCell ref="K13:L13"/>
    <mergeCell ref="E14:J14"/>
    <mergeCell ref="K14:L14"/>
    <mergeCell ref="E15:J15"/>
    <mergeCell ref="K15:L15"/>
    <mergeCell ref="E16:J16"/>
    <mergeCell ref="K16:L16"/>
    <mergeCell ref="E17:J17"/>
    <mergeCell ref="K17:L17"/>
    <mergeCell ref="E18:J18"/>
    <mergeCell ref="K18:L18"/>
    <mergeCell ref="E19:J19"/>
    <mergeCell ref="K19:L19"/>
    <mergeCell ref="E20:J20"/>
    <mergeCell ref="K20:L20"/>
    <mergeCell ref="E21:J21"/>
    <mergeCell ref="K21:L21"/>
    <mergeCell ref="E22:J22"/>
    <mergeCell ref="K22:L22"/>
    <mergeCell ref="E23:J23"/>
    <mergeCell ref="K23:L23"/>
    <mergeCell ref="E24:J24"/>
    <mergeCell ref="K24:L24"/>
    <mergeCell ref="E25:J25"/>
    <mergeCell ref="K25:L25"/>
    <mergeCell ref="B33:L33"/>
    <mergeCell ref="E26:J26"/>
    <mergeCell ref="K26:L26"/>
    <mergeCell ref="E27:J27"/>
    <mergeCell ref="K27:L27"/>
    <mergeCell ref="E28:J28"/>
    <mergeCell ref="K28:L28"/>
    <mergeCell ref="E29:J29"/>
    <mergeCell ref="K29:L29"/>
    <mergeCell ref="A30:L30"/>
    <mergeCell ref="B31:L31"/>
    <mergeCell ref="B32:L32"/>
    <mergeCell ref="A45:L45"/>
    <mergeCell ref="B34:L34"/>
    <mergeCell ref="B35:L35"/>
    <mergeCell ref="B36:L36"/>
    <mergeCell ref="A37:L37"/>
    <mergeCell ref="A38:L38"/>
    <mergeCell ref="A39:L39"/>
    <mergeCell ref="A40:L40"/>
    <mergeCell ref="A41:L41"/>
    <mergeCell ref="A42:L42"/>
    <mergeCell ref="A43:L43"/>
    <mergeCell ref="A44:L44"/>
  </mergeCells>
  <conditionalFormatting sqref="A31:A36">
    <cfRule type="containsText" dxfId="60" priority="55" stopIfTrue="1" operator="containsText" text="0">
      <formula>NOT(ISERROR(SEARCH("0",A31)))</formula>
    </cfRule>
    <cfRule type="containsText" dxfId="59" priority="56" stopIfTrue="1" operator="containsText" text="1">
      <formula>NOT(ISERROR(SEARCH("1",A31)))</formula>
    </cfRule>
    <cfRule type="containsText" dxfId="58" priority="57" stopIfTrue="1" operator="containsText" text="2">
      <formula>NOT(ISERROR(SEARCH("2",A31)))</formula>
    </cfRule>
    <cfRule type="containsText" dxfId="57" priority="58" stopIfTrue="1" operator="containsText" text="3">
      <formula>NOT(ISERROR(SEARCH("3",A31)))</formula>
    </cfRule>
    <cfRule type="containsText" dxfId="56" priority="59" stopIfTrue="1" operator="containsText" text="4">
      <formula>NOT(ISERROR(SEARCH("4",A31)))</formula>
    </cfRule>
    <cfRule type="containsText" dxfId="55" priority="60" stopIfTrue="1" operator="containsText" text="5">
      <formula>NOT(ISERROR(SEARCH("5",A31)))</formula>
    </cfRule>
  </conditionalFormatting>
  <conditionalFormatting sqref="K9:L10">
    <cfRule type="containsText" dxfId="54" priority="13" stopIfTrue="1" operator="containsText" text="0">
      <formula>NOT(ISERROR(SEARCH("0",K9)))</formula>
    </cfRule>
    <cfRule type="containsText" dxfId="53" priority="14" stopIfTrue="1" operator="containsText" text="1">
      <formula>NOT(ISERROR(SEARCH("1",K9)))</formula>
    </cfRule>
    <cfRule type="containsText" dxfId="52" priority="15" stopIfTrue="1" operator="containsText" text="2">
      <formula>NOT(ISERROR(SEARCH("2",K9)))</formula>
    </cfRule>
    <cfRule type="containsText" dxfId="51" priority="16" stopIfTrue="1" operator="containsText" text="3">
      <formula>NOT(ISERROR(SEARCH("3",K9)))</formula>
    </cfRule>
    <cfRule type="containsText" dxfId="50" priority="17" stopIfTrue="1" operator="containsText" text="4">
      <formula>NOT(ISERROR(SEARCH("4",K9)))</formula>
    </cfRule>
    <cfRule type="containsText" dxfId="49" priority="18" stopIfTrue="1" operator="containsText" text="5">
      <formula>NOT(ISERROR(SEARCH("5",K9)))</formula>
    </cfRule>
  </conditionalFormatting>
  <conditionalFormatting sqref="K28:L28">
    <cfRule type="containsText" dxfId="48" priority="43" stopIfTrue="1" operator="containsText" text="0">
      <formula>NOT(ISERROR(SEARCH("0",K28)))</formula>
    </cfRule>
    <cfRule type="containsText" dxfId="47" priority="44" stopIfTrue="1" operator="containsText" text="1">
      <formula>NOT(ISERROR(SEARCH("1",K28)))</formula>
    </cfRule>
    <cfRule type="containsText" dxfId="46" priority="45" stopIfTrue="1" operator="containsText" text="2">
      <formula>NOT(ISERROR(SEARCH("2",K28)))</formula>
    </cfRule>
    <cfRule type="containsText" dxfId="45" priority="46" stopIfTrue="1" operator="containsText" text="3">
      <formula>NOT(ISERROR(SEARCH("3",K28)))</formula>
    </cfRule>
    <cfRule type="containsText" dxfId="44" priority="47" stopIfTrue="1" operator="containsText" text="4">
      <formula>NOT(ISERROR(SEARCH("4",K28)))</formula>
    </cfRule>
    <cfRule type="containsText" dxfId="43" priority="48" stopIfTrue="1" operator="containsText" text="5">
      <formula>NOT(ISERROR(SEARCH("5",K28)))</formula>
    </cfRule>
  </conditionalFormatting>
  <conditionalFormatting sqref="K29:L29">
    <cfRule type="containsText" dxfId="42" priority="49" stopIfTrue="1" operator="containsText" text="0">
      <formula>NOT(ISERROR(SEARCH("0",K29)))</formula>
    </cfRule>
    <cfRule type="containsText" dxfId="41" priority="50" stopIfTrue="1" operator="containsText" text="1">
      <formula>NOT(ISERROR(SEARCH("1",K29)))</formula>
    </cfRule>
    <cfRule type="containsText" dxfId="40" priority="51" stopIfTrue="1" operator="containsText" text="2">
      <formula>NOT(ISERROR(SEARCH("2",K29)))</formula>
    </cfRule>
    <cfRule type="containsText" dxfId="39" priority="52" stopIfTrue="1" operator="containsText" text="3">
      <formula>NOT(ISERROR(SEARCH("3",K29)))</formula>
    </cfRule>
    <cfRule type="containsText" dxfId="38" priority="53" stopIfTrue="1" operator="containsText" text="4">
      <formula>NOT(ISERROR(SEARCH("4",K29)))</formula>
    </cfRule>
    <cfRule type="containsText" dxfId="37" priority="54" stopIfTrue="1" operator="containsText" text="5">
      <formula>NOT(ISERROR(SEARCH("5",K29)))</formula>
    </cfRule>
  </conditionalFormatting>
  <conditionalFormatting sqref="K18:L19">
    <cfRule type="containsText" dxfId="36" priority="31" stopIfTrue="1" operator="containsText" text="0">
      <formula>NOT(ISERROR(SEARCH("0",K18)))</formula>
    </cfRule>
    <cfRule type="containsText" dxfId="35" priority="32" stopIfTrue="1" operator="containsText" text="1">
      <formula>NOT(ISERROR(SEARCH("1",K18)))</formula>
    </cfRule>
    <cfRule type="containsText" dxfId="34" priority="33" stopIfTrue="1" operator="containsText" text="2">
      <formula>NOT(ISERROR(SEARCH("2",K18)))</formula>
    </cfRule>
    <cfRule type="containsText" dxfId="33" priority="34" stopIfTrue="1" operator="containsText" text="3">
      <formula>NOT(ISERROR(SEARCH("3",K18)))</formula>
    </cfRule>
    <cfRule type="containsText" dxfId="32" priority="35" stopIfTrue="1" operator="containsText" text="4">
      <formula>NOT(ISERROR(SEARCH("4",K18)))</formula>
    </cfRule>
    <cfRule type="containsText" dxfId="31" priority="36" stopIfTrue="1" operator="containsText" text="5">
      <formula>NOT(ISERROR(SEARCH("5",K18)))</formula>
    </cfRule>
  </conditionalFormatting>
  <conditionalFormatting sqref="K21:L24">
    <cfRule type="containsText" dxfId="30" priority="25" stopIfTrue="1" operator="containsText" text="0">
      <formula>NOT(ISERROR(SEARCH("0",K21)))</formula>
    </cfRule>
    <cfRule type="containsText" dxfId="29" priority="26" stopIfTrue="1" operator="containsText" text="1">
      <formula>NOT(ISERROR(SEARCH("1",K21)))</formula>
    </cfRule>
    <cfRule type="containsText" dxfId="28" priority="27" stopIfTrue="1" operator="containsText" text="2">
      <formula>NOT(ISERROR(SEARCH("2",K21)))</formula>
    </cfRule>
    <cfRule type="containsText" dxfId="27" priority="28" stopIfTrue="1" operator="containsText" text="3">
      <formula>NOT(ISERROR(SEARCH("3",K21)))</formula>
    </cfRule>
    <cfRule type="containsText" dxfId="26" priority="29" stopIfTrue="1" operator="containsText" text="4">
      <formula>NOT(ISERROR(SEARCH("4",K21)))</formula>
    </cfRule>
    <cfRule type="containsText" dxfId="25" priority="30" stopIfTrue="1" operator="containsText" text="5">
      <formula>NOT(ISERROR(SEARCH("5",K21)))</formula>
    </cfRule>
  </conditionalFormatting>
  <conditionalFormatting sqref="K11:L11">
    <cfRule type="containsText" dxfId="24" priority="19" stopIfTrue="1" operator="containsText" text="0">
      <formula>NOT(ISERROR(SEARCH("0",K11)))</formula>
    </cfRule>
    <cfRule type="containsText" dxfId="23" priority="20" stopIfTrue="1" operator="containsText" text="1">
      <formula>NOT(ISERROR(SEARCH("1",K11)))</formula>
    </cfRule>
    <cfRule type="containsText" dxfId="22" priority="21" stopIfTrue="1" operator="containsText" text="2">
      <formula>NOT(ISERROR(SEARCH("2",K11)))</formula>
    </cfRule>
    <cfRule type="containsText" dxfId="21" priority="22" stopIfTrue="1" operator="containsText" text="3">
      <formula>NOT(ISERROR(SEARCH("3",K11)))</formula>
    </cfRule>
    <cfRule type="containsText" dxfId="20" priority="23" stopIfTrue="1" operator="containsText" text="4">
      <formula>NOT(ISERROR(SEARCH("4",K11)))</formula>
    </cfRule>
    <cfRule type="containsText" dxfId="19" priority="24" stopIfTrue="1" operator="containsText" text="5">
      <formula>NOT(ISERROR(SEARCH("5",K11)))</formula>
    </cfRule>
  </conditionalFormatting>
  <conditionalFormatting sqref="K27 K25:L26">
    <cfRule type="containsText" dxfId="18" priority="1" stopIfTrue="1" operator="containsText" text="0">
      <formula>NOT(ISERROR(SEARCH("0",K25)))</formula>
    </cfRule>
    <cfRule type="containsText" dxfId="17" priority="2" stopIfTrue="1" operator="containsText" text="1">
      <formula>NOT(ISERROR(SEARCH("1",K25)))</formula>
    </cfRule>
    <cfRule type="containsText" dxfId="16" priority="3" stopIfTrue="1" operator="containsText" text="2">
      <formula>NOT(ISERROR(SEARCH("2",K25)))</formula>
    </cfRule>
    <cfRule type="containsText" dxfId="15" priority="4" stopIfTrue="1" operator="containsText" text="3">
      <formula>NOT(ISERROR(SEARCH("3",K25)))</formula>
    </cfRule>
    <cfRule type="containsText" dxfId="14" priority="5" stopIfTrue="1" operator="containsText" text="4">
      <formula>NOT(ISERROR(SEARCH("4",K25)))</formula>
    </cfRule>
    <cfRule type="containsText" dxfId="13" priority="6" stopIfTrue="1" operator="containsText" text="5">
      <formula>NOT(ISERROR(SEARCH("5",K25)))</formula>
    </cfRule>
  </conditionalFormatting>
  <conditionalFormatting sqref="K20:L20">
    <cfRule type="containsText" dxfId="12" priority="37" stopIfTrue="1" operator="containsText" text="0">
      <formula>NOT(ISERROR(SEARCH("0",K20)))</formula>
    </cfRule>
    <cfRule type="containsText" dxfId="11" priority="38" stopIfTrue="1" operator="containsText" text="1">
      <formula>NOT(ISERROR(SEARCH("1",K20)))</formula>
    </cfRule>
    <cfRule type="containsText" dxfId="10" priority="39" stopIfTrue="1" operator="containsText" text="2">
      <formula>NOT(ISERROR(SEARCH("2",K20)))</formula>
    </cfRule>
    <cfRule type="containsText" dxfId="9" priority="40" stopIfTrue="1" operator="containsText" text="3">
      <formula>NOT(ISERROR(SEARCH("3",K20)))</formula>
    </cfRule>
    <cfRule type="containsText" dxfId="8" priority="41" stopIfTrue="1" operator="containsText" text="4">
      <formula>NOT(ISERROR(SEARCH("4",K20)))</formula>
    </cfRule>
    <cfRule type="containsText" dxfId="7" priority="42" stopIfTrue="1" operator="containsText" text="5">
      <formula>NOT(ISERROR(SEARCH("5",K20)))</formula>
    </cfRule>
  </conditionalFormatting>
  <conditionalFormatting sqref="K12:L17">
    <cfRule type="containsText" dxfId="6" priority="7" stopIfTrue="1" operator="containsText" text="0">
      <formula>NOT(ISERROR(SEARCH("0",K12)))</formula>
    </cfRule>
    <cfRule type="containsText" dxfId="5" priority="8" stopIfTrue="1" operator="containsText" text="1">
      <formula>NOT(ISERROR(SEARCH("1",K12)))</formula>
    </cfRule>
    <cfRule type="containsText" dxfId="4" priority="9" stopIfTrue="1" operator="containsText" text="2">
      <formula>NOT(ISERROR(SEARCH("2",K12)))</formula>
    </cfRule>
    <cfRule type="containsText" dxfId="3" priority="10" stopIfTrue="1" operator="containsText" text="3">
      <formula>NOT(ISERROR(SEARCH("3",K12)))</formula>
    </cfRule>
    <cfRule type="containsText" dxfId="2" priority="11" stopIfTrue="1" operator="containsText" text="4">
      <formula>NOT(ISERROR(SEARCH("4",K12)))</formula>
    </cfRule>
    <cfRule type="containsText" dxfId="1" priority="12" stopIfTrue="1" operator="containsText" text="5">
      <formula>NOT(ISERROR(SEARCH("5",K12)))</formula>
    </cfRule>
  </conditionalFormatting>
  <printOptions horizontalCentere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4" name="Button 1">
              <controlPr defaultSize="0" print="0" autoFill="0" autoPict="0" macro="[0]!AddTargetLateral">
                <anchor moveWithCells="1" sizeWithCells="1">
                  <from>
                    <xdr:col>12</xdr:col>
                    <xdr:colOff>57150</xdr:colOff>
                    <xdr:row>5</xdr:row>
                    <xdr:rowOff>12700</xdr:rowOff>
                  </from>
                  <to>
                    <xdr:col>15</xdr:col>
                    <xdr:colOff>514350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5" name="Button 2">
              <controlPr defaultSize="0" print="0" autoFill="0" autoPict="0" macro="[0]!AddrowTL">
                <anchor moveWithCells="1" sizeWithCells="1">
                  <from>
                    <xdr:col>12</xdr:col>
                    <xdr:colOff>50800</xdr:colOff>
                    <xdr:row>0</xdr:row>
                    <xdr:rowOff>50800</xdr:rowOff>
                  </from>
                  <to>
                    <xdr:col>15</xdr:col>
                    <xdr:colOff>508000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5" r:id="rId6" name="Button 3">
              <controlPr defaultSize="0" print="0" autoFill="0" autoPict="0" macro="[0]!DeleteRowTL">
                <anchor moveWithCells="1" sizeWithCells="1">
                  <from>
                    <xdr:col>12</xdr:col>
                    <xdr:colOff>57150</xdr:colOff>
                    <xdr:row>1</xdr:row>
                    <xdr:rowOff>152400</xdr:rowOff>
                  </from>
                  <to>
                    <xdr:col>15</xdr:col>
                    <xdr:colOff>514350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J90"/>
  <sheetViews>
    <sheetView workbookViewId="0">
      <selection activeCell="L13" sqref="L13"/>
    </sheetView>
  </sheetViews>
  <sheetFormatPr defaultRowHeight="12.5"/>
  <cols>
    <col min="1" max="1" width="12.1796875" customWidth="1"/>
    <col min="2" max="5" width="9.7265625" customWidth="1"/>
    <col min="6" max="6" width="10.453125" customWidth="1"/>
    <col min="7" max="9" width="9.26953125" customWidth="1"/>
    <col min="10" max="10" width="33.7265625" customWidth="1"/>
  </cols>
  <sheetData>
    <row r="1" spans="1:10" ht="23">
      <c r="A1" s="165" t="s">
        <v>170</v>
      </c>
      <c r="B1" s="166"/>
      <c r="C1" s="167"/>
      <c r="D1" s="166"/>
      <c r="E1" s="167"/>
      <c r="F1" s="167"/>
      <c r="G1" s="167"/>
      <c r="H1" s="167"/>
      <c r="I1" s="167"/>
      <c r="J1" s="168"/>
    </row>
    <row r="2" spans="1:10" ht="14">
      <c r="A2" s="169"/>
      <c r="B2" s="170"/>
      <c r="C2" s="9"/>
      <c r="D2" s="170"/>
      <c r="E2" s="9"/>
      <c r="F2" s="9"/>
      <c r="G2" s="9"/>
      <c r="H2" s="9"/>
      <c r="I2" s="9"/>
      <c r="J2" s="171"/>
    </row>
    <row r="3" spans="1:10" ht="14">
      <c r="A3" s="431" t="s">
        <v>101</v>
      </c>
      <c r="B3" s="431"/>
      <c r="C3" s="431"/>
      <c r="D3" s="431"/>
      <c r="E3" s="431"/>
      <c r="F3" s="431"/>
      <c r="G3" s="431"/>
      <c r="H3" s="431"/>
      <c r="I3" s="431"/>
      <c r="J3" s="431"/>
    </row>
    <row r="4" spans="1:10" ht="14">
      <c r="A4" s="169"/>
      <c r="B4" s="170"/>
      <c r="C4" s="9"/>
      <c r="D4" s="170"/>
      <c r="E4" s="9"/>
      <c r="F4" s="9"/>
      <c r="G4" s="9"/>
      <c r="H4" s="9"/>
      <c r="I4" s="9"/>
      <c r="J4" s="171"/>
    </row>
    <row r="5" spans="1:10" ht="26">
      <c r="A5" s="432" t="s">
        <v>171</v>
      </c>
      <c r="B5" s="434" t="s">
        <v>172</v>
      </c>
      <c r="C5" s="434" t="s">
        <v>173</v>
      </c>
      <c r="D5" s="434" t="s">
        <v>174</v>
      </c>
      <c r="E5" s="434" t="s">
        <v>175</v>
      </c>
      <c r="F5" s="172" t="s">
        <v>176</v>
      </c>
      <c r="G5" s="172"/>
      <c r="H5" s="172"/>
      <c r="I5" s="172"/>
      <c r="J5" s="436" t="s">
        <v>177</v>
      </c>
    </row>
    <row r="6" spans="1:10" ht="13">
      <c r="A6" s="433"/>
      <c r="B6" s="435"/>
      <c r="C6" s="435"/>
      <c r="D6" s="435"/>
      <c r="E6" s="435"/>
      <c r="F6" s="173" t="s">
        <v>178</v>
      </c>
      <c r="G6" s="173" t="s">
        <v>179</v>
      </c>
      <c r="H6" s="173" t="s">
        <v>180</v>
      </c>
      <c r="I6" s="173" t="s">
        <v>181</v>
      </c>
      <c r="J6" s="437"/>
    </row>
    <row r="7" spans="1:10">
      <c r="A7" s="174"/>
      <c r="B7" s="175"/>
      <c r="C7" s="175"/>
      <c r="D7" s="175"/>
      <c r="E7" s="176">
        <f>IF(D7=0,0,C7/D7)</f>
        <v>0</v>
      </c>
      <c r="F7" s="177"/>
      <c r="G7" s="177"/>
      <c r="H7" s="177"/>
      <c r="I7" s="177"/>
      <c r="J7" s="178"/>
    </row>
    <row r="8" spans="1:10">
      <c r="A8" s="179"/>
      <c r="B8" s="180"/>
      <c r="C8" s="180">
        <f>IF(B8=0,0,B8-B7)</f>
        <v>0</v>
      </c>
      <c r="D8" s="180"/>
      <c r="E8" s="181">
        <f t="shared" ref="E8:E71" si="0">IF(D8=0,0,C8/D8)</f>
        <v>0</v>
      </c>
      <c r="F8" s="182"/>
      <c r="G8" s="182"/>
      <c r="H8" s="182"/>
      <c r="I8" s="182"/>
      <c r="J8" s="183"/>
    </row>
    <row r="9" spans="1:10">
      <c r="A9" s="184"/>
      <c r="B9" s="185"/>
      <c r="C9" s="185">
        <f>IF(B9=0,0,B9-B8)</f>
        <v>0</v>
      </c>
      <c r="D9" s="185"/>
      <c r="E9" s="186">
        <f t="shared" si="0"/>
        <v>0</v>
      </c>
      <c r="F9" s="187"/>
      <c r="G9" s="187"/>
      <c r="H9" s="187"/>
      <c r="I9" s="187"/>
      <c r="J9" s="188"/>
    </row>
    <row r="10" spans="1:10">
      <c r="A10" s="189"/>
      <c r="B10" s="190"/>
      <c r="C10" s="190">
        <f>IF(B10=0,0,B10-B9)</f>
        <v>0</v>
      </c>
      <c r="D10" s="190"/>
      <c r="E10" s="191">
        <f t="shared" si="0"/>
        <v>0</v>
      </c>
      <c r="F10" s="192"/>
      <c r="G10" s="192"/>
      <c r="H10" s="192"/>
      <c r="I10" s="192"/>
      <c r="J10" s="193"/>
    </row>
    <row r="11" spans="1:10">
      <c r="A11" s="184"/>
      <c r="B11" s="185"/>
      <c r="C11" s="185">
        <f>IF(B11=0,0,B11-B10)</f>
        <v>0</v>
      </c>
      <c r="D11" s="185"/>
      <c r="E11" s="186">
        <f t="shared" si="0"/>
        <v>0</v>
      </c>
      <c r="F11" s="187"/>
      <c r="G11" s="187"/>
      <c r="H11" s="187"/>
      <c r="I11" s="187"/>
      <c r="J11" s="188"/>
    </row>
    <row r="12" spans="1:10">
      <c r="A12" s="189"/>
      <c r="B12" s="190"/>
      <c r="C12" s="190">
        <f t="shared" ref="C12:C73" si="1">IF(B12=0,0,B12-B11)</f>
        <v>0</v>
      </c>
      <c r="D12" s="190"/>
      <c r="E12" s="191">
        <f t="shared" si="0"/>
        <v>0</v>
      </c>
      <c r="F12" s="192"/>
      <c r="G12" s="192"/>
      <c r="H12" s="192"/>
      <c r="I12" s="192"/>
      <c r="J12" s="193"/>
    </row>
    <row r="13" spans="1:10">
      <c r="A13" s="184"/>
      <c r="B13" s="185"/>
      <c r="C13" s="185">
        <f t="shared" si="1"/>
        <v>0</v>
      </c>
      <c r="D13" s="185"/>
      <c r="E13" s="186">
        <f t="shared" si="0"/>
        <v>0</v>
      </c>
      <c r="F13" s="187"/>
      <c r="G13" s="187"/>
      <c r="H13" s="187"/>
      <c r="I13" s="187"/>
      <c r="J13" s="188"/>
    </row>
    <row r="14" spans="1:10">
      <c r="A14" s="189"/>
      <c r="B14" s="190"/>
      <c r="C14" s="190">
        <f t="shared" si="1"/>
        <v>0</v>
      </c>
      <c r="D14" s="190"/>
      <c r="E14" s="191">
        <f t="shared" si="0"/>
        <v>0</v>
      </c>
      <c r="F14" s="192"/>
      <c r="G14" s="192"/>
      <c r="H14" s="192"/>
      <c r="I14" s="192"/>
      <c r="J14" s="193"/>
    </row>
    <row r="15" spans="1:10">
      <c r="A15" s="184"/>
      <c r="B15" s="185"/>
      <c r="C15" s="185">
        <f t="shared" si="1"/>
        <v>0</v>
      </c>
      <c r="D15" s="185"/>
      <c r="E15" s="186">
        <f t="shared" si="0"/>
        <v>0</v>
      </c>
      <c r="F15" s="187"/>
      <c r="G15" s="187"/>
      <c r="H15" s="187"/>
      <c r="I15" s="187"/>
      <c r="J15" s="188"/>
    </row>
    <row r="16" spans="1:10">
      <c r="A16" s="189"/>
      <c r="B16" s="190"/>
      <c r="C16" s="190">
        <f t="shared" si="1"/>
        <v>0</v>
      </c>
      <c r="D16" s="190"/>
      <c r="E16" s="191">
        <f t="shared" si="0"/>
        <v>0</v>
      </c>
      <c r="F16" s="192"/>
      <c r="G16" s="192"/>
      <c r="H16" s="192"/>
      <c r="I16" s="192"/>
      <c r="J16" s="193"/>
    </row>
    <row r="17" spans="1:10">
      <c r="A17" s="184"/>
      <c r="B17" s="185"/>
      <c r="C17" s="185">
        <f t="shared" si="1"/>
        <v>0</v>
      </c>
      <c r="D17" s="185"/>
      <c r="E17" s="186">
        <f t="shared" si="0"/>
        <v>0</v>
      </c>
      <c r="F17" s="187"/>
      <c r="G17" s="187"/>
      <c r="H17" s="187"/>
      <c r="I17" s="187"/>
      <c r="J17" s="188"/>
    </row>
    <row r="18" spans="1:10">
      <c r="A18" s="189"/>
      <c r="B18" s="190"/>
      <c r="C18" s="190">
        <f t="shared" si="1"/>
        <v>0</v>
      </c>
      <c r="D18" s="190"/>
      <c r="E18" s="191">
        <f t="shared" si="0"/>
        <v>0</v>
      </c>
      <c r="F18" s="192"/>
      <c r="G18" s="192"/>
      <c r="H18" s="192"/>
      <c r="I18" s="192"/>
      <c r="J18" s="193"/>
    </row>
    <row r="19" spans="1:10">
      <c r="A19" s="184"/>
      <c r="B19" s="185"/>
      <c r="C19" s="185">
        <f t="shared" si="1"/>
        <v>0</v>
      </c>
      <c r="D19" s="185"/>
      <c r="E19" s="186">
        <f t="shared" si="0"/>
        <v>0</v>
      </c>
      <c r="F19" s="187"/>
      <c r="G19" s="187"/>
      <c r="H19" s="187"/>
      <c r="I19" s="187"/>
      <c r="J19" s="188"/>
    </row>
    <row r="20" spans="1:10">
      <c r="A20" s="189"/>
      <c r="B20" s="190"/>
      <c r="C20" s="190">
        <f t="shared" si="1"/>
        <v>0</v>
      </c>
      <c r="D20" s="190"/>
      <c r="E20" s="191">
        <f t="shared" si="0"/>
        <v>0</v>
      </c>
      <c r="F20" s="192"/>
      <c r="G20" s="192"/>
      <c r="H20" s="192"/>
      <c r="I20" s="192"/>
      <c r="J20" s="193"/>
    </row>
    <row r="21" spans="1:10">
      <c r="A21" s="184"/>
      <c r="B21" s="185"/>
      <c r="C21" s="185">
        <f t="shared" si="1"/>
        <v>0</v>
      </c>
      <c r="D21" s="185"/>
      <c r="E21" s="186">
        <f t="shared" si="0"/>
        <v>0</v>
      </c>
      <c r="F21" s="187"/>
      <c r="G21" s="187"/>
      <c r="H21" s="187"/>
      <c r="I21" s="187"/>
      <c r="J21" s="188"/>
    </row>
    <row r="22" spans="1:10">
      <c r="A22" s="189"/>
      <c r="B22" s="190"/>
      <c r="C22" s="190">
        <f t="shared" si="1"/>
        <v>0</v>
      </c>
      <c r="D22" s="190"/>
      <c r="E22" s="191">
        <f t="shared" si="0"/>
        <v>0</v>
      </c>
      <c r="F22" s="192"/>
      <c r="G22" s="192"/>
      <c r="H22" s="192"/>
      <c r="I22" s="192"/>
      <c r="J22" s="193"/>
    </row>
    <row r="23" spans="1:10">
      <c r="A23" s="184"/>
      <c r="B23" s="185"/>
      <c r="C23" s="185">
        <f t="shared" si="1"/>
        <v>0</v>
      </c>
      <c r="D23" s="185"/>
      <c r="E23" s="186">
        <f t="shared" si="0"/>
        <v>0</v>
      </c>
      <c r="F23" s="187"/>
      <c r="G23" s="187"/>
      <c r="H23" s="187"/>
      <c r="I23" s="187"/>
      <c r="J23" s="188"/>
    </row>
    <row r="24" spans="1:10">
      <c r="A24" s="189"/>
      <c r="B24" s="190"/>
      <c r="C24" s="190">
        <f t="shared" si="1"/>
        <v>0</v>
      </c>
      <c r="D24" s="190"/>
      <c r="E24" s="191">
        <f t="shared" si="0"/>
        <v>0</v>
      </c>
      <c r="F24" s="192"/>
      <c r="G24" s="192"/>
      <c r="H24" s="192"/>
      <c r="I24" s="192"/>
      <c r="J24" s="193"/>
    </row>
    <row r="25" spans="1:10">
      <c r="A25" s="184"/>
      <c r="B25" s="185"/>
      <c r="C25" s="185">
        <f t="shared" si="1"/>
        <v>0</v>
      </c>
      <c r="D25" s="185"/>
      <c r="E25" s="186">
        <f t="shared" si="0"/>
        <v>0</v>
      </c>
      <c r="F25" s="187"/>
      <c r="G25" s="187"/>
      <c r="H25" s="187"/>
      <c r="I25" s="187"/>
      <c r="J25" s="188"/>
    </row>
    <row r="26" spans="1:10">
      <c r="A26" s="189"/>
      <c r="B26" s="190"/>
      <c r="C26" s="190">
        <f t="shared" si="1"/>
        <v>0</v>
      </c>
      <c r="D26" s="190"/>
      <c r="E26" s="191">
        <f t="shared" si="0"/>
        <v>0</v>
      </c>
      <c r="F26" s="192"/>
      <c r="G26" s="192"/>
      <c r="H26" s="192"/>
      <c r="I26" s="192"/>
      <c r="J26" s="193"/>
    </row>
    <row r="27" spans="1:10" ht="14">
      <c r="A27" s="194"/>
      <c r="B27" s="195"/>
      <c r="C27" s="185">
        <f t="shared" si="1"/>
        <v>0</v>
      </c>
      <c r="D27" s="195"/>
      <c r="E27" s="186">
        <f t="shared" si="0"/>
        <v>0</v>
      </c>
      <c r="F27" s="195"/>
      <c r="G27" s="195"/>
      <c r="H27" s="195"/>
      <c r="I27" s="195"/>
      <c r="J27" s="196"/>
    </row>
    <row r="28" spans="1:10" ht="14">
      <c r="A28" s="197"/>
      <c r="B28" s="198"/>
      <c r="C28" s="190">
        <f t="shared" si="1"/>
        <v>0</v>
      </c>
      <c r="D28" s="198"/>
      <c r="E28" s="191">
        <f t="shared" si="0"/>
        <v>0</v>
      </c>
      <c r="F28" s="198"/>
      <c r="G28" s="198"/>
      <c r="H28" s="198"/>
      <c r="I28" s="198"/>
      <c r="J28" s="199"/>
    </row>
    <row r="29" spans="1:10" ht="14">
      <c r="A29" s="194"/>
      <c r="B29" s="195"/>
      <c r="C29" s="185">
        <f t="shared" si="1"/>
        <v>0</v>
      </c>
      <c r="D29" s="195"/>
      <c r="E29" s="186">
        <f t="shared" si="0"/>
        <v>0</v>
      </c>
      <c r="F29" s="195"/>
      <c r="G29" s="195"/>
      <c r="H29" s="195"/>
      <c r="I29" s="195"/>
      <c r="J29" s="196"/>
    </row>
    <row r="30" spans="1:10" ht="14">
      <c r="A30" s="197"/>
      <c r="B30" s="198"/>
      <c r="C30" s="190">
        <f t="shared" si="1"/>
        <v>0</v>
      </c>
      <c r="D30" s="198"/>
      <c r="E30" s="191">
        <f t="shared" si="0"/>
        <v>0</v>
      </c>
      <c r="F30" s="198"/>
      <c r="G30" s="198"/>
      <c r="H30" s="198"/>
      <c r="I30" s="198"/>
      <c r="J30" s="199"/>
    </row>
    <row r="31" spans="1:10" ht="14">
      <c r="A31" s="194"/>
      <c r="B31" s="195"/>
      <c r="C31" s="185">
        <f t="shared" si="1"/>
        <v>0</v>
      </c>
      <c r="D31" s="195"/>
      <c r="E31" s="186">
        <f t="shared" si="0"/>
        <v>0</v>
      </c>
      <c r="F31" s="195"/>
      <c r="G31" s="195"/>
      <c r="H31" s="195"/>
      <c r="I31" s="195"/>
      <c r="J31" s="196"/>
    </row>
    <row r="32" spans="1:10" ht="14">
      <c r="A32" s="197"/>
      <c r="B32" s="198"/>
      <c r="C32" s="190">
        <f t="shared" si="1"/>
        <v>0</v>
      </c>
      <c r="D32" s="198"/>
      <c r="E32" s="191">
        <f t="shared" si="0"/>
        <v>0</v>
      </c>
      <c r="F32" s="198"/>
      <c r="G32" s="198"/>
      <c r="H32" s="198"/>
      <c r="I32" s="198"/>
      <c r="J32" s="199"/>
    </row>
    <row r="33" spans="1:10" ht="14">
      <c r="A33" s="194"/>
      <c r="B33" s="195"/>
      <c r="C33" s="185">
        <f t="shared" si="1"/>
        <v>0</v>
      </c>
      <c r="D33" s="195"/>
      <c r="E33" s="186">
        <f t="shared" si="0"/>
        <v>0</v>
      </c>
      <c r="F33" s="195"/>
      <c r="G33" s="195"/>
      <c r="H33" s="195"/>
      <c r="I33" s="195"/>
      <c r="J33" s="196"/>
    </row>
    <row r="34" spans="1:10" ht="14">
      <c r="A34" s="197"/>
      <c r="B34" s="198"/>
      <c r="C34" s="190">
        <f t="shared" si="1"/>
        <v>0</v>
      </c>
      <c r="D34" s="198"/>
      <c r="E34" s="191">
        <f t="shared" si="0"/>
        <v>0</v>
      </c>
      <c r="F34" s="198"/>
      <c r="G34" s="198"/>
      <c r="H34" s="198"/>
      <c r="I34" s="198"/>
      <c r="J34" s="199"/>
    </row>
    <row r="35" spans="1:10" ht="14">
      <c r="A35" s="194"/>
      <c r="B35" s="195"/>
      <c r="C35" s="185">
        <f t="shared" si="1"/>
        <v>0</v>
      </c>
      <c r="D35" s="195"/>
      <c r="E35" s="186">
        <f t="shared" si="0"/>
        <v>0</v>
      </c>
      <c r="F35" s="195"/>
      <c r="G35" s="195"/>
      <c r="H35" s="195"/>
      <c r="I35" s="195"/>
      <c r="J35" s="196"/>
    </row>
    <row r="36" spans="1:10" ht="14">
      <c r="A36" s="197"/>
      <c r="B36" s="198"/>
      <c r="C36" s="190">
        <f t="shared" si="1"/>
        <v>0</v>
      </c>
      <c r="D36" s="198"/>
      <c r="E36" s="191">
        <f t="shared" si="0"/>
        <v>0</v>
      </c>
      <c r="F36" s="198"/>
      <c r="G36" s="198"/>
      <c r="H36" s="198"/>
      <c r="I36" s="198"/>
      <c r="J36" s="199"/>
    </row>
    <row r="37" spans="1:10" ht="14">
      <c r="A37" s="194"/>
      <c r="B37" s="195"/>
      <c r="C37" s="185">
        <f t="shared" si="1"/>
        <v>0</v>
      </c>
      <c r="D37" s="195"/>
      <c r="E37" s="186">
        <f t="shared" si="0"/>
        <v>0</v>
      </c>
      <c r="F37" s="195"/>
      <c r="G37" s="195"/>
      <c r="H37" s="195"/>
      <c r="I37" s="195"/>
      <c r="J37" s="196"/>
    </row>
    <row r="38" spans="1:10" ht="14">
      <c r="A38" s="197"/>
      <c r="B38" s="198"/>
      <c r="C38" s="190">
        <f t="shared" si="1"/>
        <v>0</v>
      </c>
      <c r="D38" s="198"/>
      <c r="E38" s="191">
        <f t="shared" si="0"/>
        <v>0</v>
      </c>
      <c r="F38" s="198"/>
      <c r="G38" s="198"/>
      <c r="H38" s="198"/>
      <c r="I38" s="198"/>
      <c r="J38" s="199"/>
    </row>
    <row r="39" spans="1:10" ht="14">
      <c r="A39" s="200"/>
      <c r="B39" s="201"/>
      <c r="C39" s="202">
        <f t="shared" si="1"/>
        <v>0</v>
      </c>
      <c r="D39" s="195"/>
      <c r="E39" s="186">
        <f t="shared" si="0"/>
        <v>0</v>
      </c>
      <c r="F39" s="195"/>
      <c r="G39" s="195"/>
      <c r="H39" s="195"/>
      <c r="I39" s="195"/>
      <c r="J39" s="196"/>
    </row>
    <row r="40" spans="1:10" ht="14">
      <c r="A40" s="203"/>
      <c r="B40" s="204"/>
      <c r="C40" s="205">
        <f t="shared" si="1"/>
        <v>0</v>
      </c>
      <c r="D40" s="198"/>
      <c r="E40" s="191">
        <f t="shared" si="0"/>
        <v>0</v>
      </c>
      <c r="F40" s="198"/>
      <c r="G40" s="198"/>
      <c r="H40" s="198"/>
      <c r="I40" s="198"/>
      <c r="J40" s="199"/>
    </row>
    <row r="41" spans="1:10" ht="14">
      <c r="A41" s="200"/>
      <c r="B41" s="201"/>
      <c r="C41" s="206">
        <f>IF(B41=0,0,B41-B40)</f>
        <v>0</v>
      </c>
      <c r="D41" s="201"/>
      <c r="E41" s="207">
        <f t="shared" si="0"/>
        <v>0</v>
      </c>
      <c r="F41" s="201"/>
      <c r="G41" s="208"/>
      <c r="H41" s="201"/>
      <c r="I41" s="201"/>
      <c r="J41" s="209"/>
    </row>
    <row r="42" spans="1:10" ht="14">
      <c r="A42" s="200"/>
      <c r="B42" s="201"/>
      <c r="C42" s="206">
        <f>IF(B42=0,0,B42-B41)</f>
        <v>0</v>
      </c>
      <c r="D42" s="201"/>
      <c r="E42" s="207">
        <f t="shared" si="0"/>
        <v>0</v>
      </c>
      <c r="F42" s="201"/>
      <c r="G42" s="208"/>
      <c r="H42" s="201"/>
      <c r="I42" s="201"/>
      <c r="J42" s="209"/>
    </row>
    <row r="43" spans="1:10" ht="14">
      <c r="A43" s="200"/>
      <c r="B43" s="201"/>
      <c r="C43" s="206">
        <f t="shared" si="1"/>
        <v>0</v>
      </c>
      <c r="D43" s="201"/>
      <c r="E43" s="207">
        <f t="shared" si="0"/>
        <v>0</v>
      </c>
      <c r="F43" s="201"/>
      <c r="G43" s="208"/>
      <c r="H43" s="201"/>
      <c r="I43" s="201"/>
      <c r="J43" s="209"/>
    </row>
    <row r="44" spans="1:10" ht="14">
      <c r="A44" s="200"/>
      <c r="B44" s="201"/>
      <c r="C44" s="206">
        <f t="shared" si="1"/>
        <v>0</v>
      </c>
      <c r="D44" s="201"/>
      <c r="E44" s="207">
        <f t="shared" si="0"/>
        <v>0</v>
      </c>
      <c r="F44" s="201"/>
      <c r="G44" s="208"/>
      <c r="H44" s="201"/>
      <c r="I44" s="201"/>
      <c r="J44" s="209"/>
    </row>
    <row r="45" spans="1:10" ht="14">
      <c r="A45" s="200"/>
      <c r="B45" s="201"/>
      <c r="C45" s="206">
        <f t="shared" si="1"/>
        <v>0</v>
      </c>
      <c r="D45" s="201"/>
      <c r="E45" s="207">
        <f t="shared" si="0"/>
        <v>0</v>
      </c>
      <c r="F45" s="201"/>
      <c r="G45" s="208"/>
      <c r="H45" s="201"/>
      <c r="I45" s="201"/>
      <c r="J45" s="209"/>
    </row>
    <row r="46" spans="1:10" ht="14">
      <c r="A46" s="200"/>
      <c r="B46" s="201"/>
      <c r="C46" s="206">
        <f t="shared" si="1"/>
        <v>0</v>
      </c>
      <c r="D46" s="201"/>
      <c r="E46" s="207">
        <f t="shared" si="0"/>
        <v>0</v>
      </c>
      <c r="F46" s="201"/>
      <c r="G46" s="208"/>
      <c r="H46" s="201"/>
      <c r="I46" s="201"/>
      <c r="J46" s="209"/>
    </row>
    <row r="47" spans="1:10" ht="14">
      <c r="A47" s="200"/>
      <c r="B47" s="201"/>
      <c r="C47" s="206">
        <f t="shared" si="1"/>
        <v>0</v>
      </c>
      <c r="D47" s="201"/>
      <c r="E47" s="207">
        <f t="shared" si="0"/>
        <v>0</v>
      </c>
      <c r="F47" s="201"/>
      <c r="G47" s="208"/>
      <c r="H47" s="201"/>
      <c r="I47" s="201"/>
      <c r="J47" s="209"/>
    </row>
    <row r="48" spans="1:10" ht="14">
      <c r="A48" s="200"/>
      <c r="B48" s="201"/>
      <c r="C48" s="206">
        <f t="shared" si="1"/>
        <v>0</v>
      </c>
      <c r="D48" s="201"/>
      <c r="E48" s="207">
        <f t="shared" si="0"/>
        <v>0</v>
      </c>
      <c r="F48" s="201"/>
      <c r="G48" s="208"/>
      <c r="H48" s="201"/>
      <c r="I48" s="201"/>
      <c r="J48" s="209"/>
    </row>
    <row r="49" spans="1:10" ht="14">
      <c r="A49" s="200"/>
      <c r="B49" s="201"/>
      <c r="C49" s="206">
        <f t="shared" si="1"/>
        <v>0</v>
      </c>
      <c r="D49" s="201"/>
      <c r="E49" s="207">
        <f t="shared" si="0"/>
        <v>0</v>
      </c>
      <c r="F49" s="201"/>
      <c r="G49" s="208"/>
      <c r="H49" s="201"/>
      <c r="I49" s="201"/>
      <c r="J49" s="209"/>
    </row>
    <row r="50" spans="1:10" ht="14">
      <c r="A50" s="200"/>
      <c r="B50" s="201"/>
      <c r="C50" s="206">
        <f t="shared" si="1"/>
        <v>0</v>
      </c>
      <c r="D50" s="201"/>
      <c r="E50" s="207">
        <f t="shared" si="0"/>
        <v>0</v>
      </c>
      <c r="F50" s="201"/>
      <c r="G50" s="208"/>
      <c r="H50" s="201"/>
      <c r="I50" s="201"/>
      <c r="J50" s="209"/>
    </row>
    <row r="51" spans="1:10" ht="14">
      <c r="A51" s="200"/>
      <c r="B51" s="201"/>
      <c r="C51" s="206">
        <f t="shared" si="1"/>
        <v>0</v>
      </c>
      <c r="D51" s="201"/>
      <c r="E51" s="207">
        <f t="shared" si="0"/>
        <v>0</v>
      </c>
      <c r="F51" s="201"/>
      <c r="G51" s="208"/>
      <c r="H51" s="201"/>
      <c r="I51" s="201"/>
      <c r="J51" s="209"/>
    </row>
    <row r="52" spans="1:10" ht="14">
      <c r="A52" s="200"/>
      <c r="B52" s="201"/>
      <c r="C52" s="206">
        <f t="shared" si="1"/>
        <v>0</v>
      </c>
      <c r="D52" s="201"/>
      <c r="E52" s="207">
        <f t="shared" si="0"/>
        <v>0</v>
      </c>
      <c r="F52" s="201"/>
      <c r="G52" s="208"/>
      <c r="H52" s="201"/>
      <c r="I52" s="201"/>
      <c r="J52" s="209"/>
    </row>
    <row r="53" spans="1:10" ht="14">
      <c r="A53" s="200"/>
      <c r="B53" s="201"/>
      <c r="C53" s="206">
        <f t="shared" si="1"/>
        <v>0</v>
      </c>
      <c r="D53" s="201"/>
      <c r="E53" s="207">
        <f t="shared" si="0"/>
        <v>0</v>
      </c>
      <c r="F53" s="201"/>
      <c r="G53" s="208"/>
      <c r="H53" s="201"/>
      <c r="I53" s="201"/>
      <c r="J53" s="209"/>
    </row>
    <row r="54" spans="1:10" ht="14">
      <c r="A54" s="200"/>
      <c r="B54" s="201"/>
      <c r="C54" s="206">
        <f t="shared" si="1"/>
        <v>0</v>
      </c>
      <c r="D54" s="201"/>
      <c r="E54" s="207">
        <f t="shared" si="0"/>
        <v>0</v>
      </c>
      <c r="F54" s="201"/>
      <c r="G54" s="208"/>
      <c r="H54" s="201"/>
      <c r="I54" s="201"/>
      <c r="J54" s="209"/>
    </row>
    <row r="55" spans="1:10" ht="14">
      <c r="A55" s="200"/>
      <c r="B55" s="201"/>
      <c r="C55" s="206">
        <f t="shared" si="1"/>
        <v>0</v>
      </c>
      <c r="D55" s="201"/>
      <c r="E55" s="207">
        <f t="shared" si="0"/>
        <v>0</v>
      </c>
      <c r="F55" s="201"/>
      <c r="G55" s="208"/>
      <c r="H55" s="201"/>
      <c r="I55" s="201"/>
      <c r="J55" s="209"/>
    </row>
    <row r="56" spans="1:10" ht="14">
      <c r="A56" s="200"/>
      <c r="B56" s="201"/>
      <c r="C56" s="206">
        <f t="shared" si="1"/>
        <v>0</v>
      </c>
      <c r="D56" s="201"/>
      <c r="E56" s="207">
        <f t="shared" si="0"/>
        <v>0</v>
      </c>
      <c r="F56" s="201"/>
      <c r="G56" s="208"/>
      <c r="H56" s="201"/>
      <c r="I56" s="201"/>
      <c r="J56" s="209"/>
    </row>
    <row r="57" spans="1:10" ht="14">
      <c r="A57" s="200"/>
      <c r="B57" s="201"/>
      <c r="C57" s="206">
        <f t="shared" si="1"/>
        <v>0</v>
      </c>
      <c r="D57" s="201"/>
      <c r="E57" s="207">
        <f t="shared" si="0"/>
        <v>0</v>
      </c>
      <c r="F57" s="201"/>
      <c r="G57" s="208"/>
      <c r="H57" s="201"/>
      <c r="I57" s="201"/>
      <c r="J57" s="209"/>
    </row>
    <row r="58" spans="1:10" ht="14">
      <c r="A58" s="200"/>
      <c r="B58" s="201"/>
      <c r="C58" s="206">
        <f t="shared" si="1"/>
        <v>0</v>
      </c>
      <c r="D58" s="201"/>
      <c r="E58" s="207">
        <f t="shared" si="0"/>
        <v>0</v>
      </c>
      <c r="F58" s="201"/>
      <c r="G58" s="208"/>
      <c r="H58" s="201"/>
      <c r="I58" s="201"/>
      <c r="J58" s="209"/>
    </row>
    <row r="59" spans="1:10" ht="14">
      <c r="A59" s="200"/>
      <c r="B59" s="201"/>
      <c r="C59" s="206">
        <f t="shared" si="1"/>
        <v>0</v>
      </c>
      <c r="D59" s="201"/>
      <c r="E59" s="207">
        <f t="shared" si="0"/>
        <v>0</v>
      </c>
      <c r="F59" s="201"/>
      <c r="G59" s="208"/>
      <c r="H59" s="201"/>
      <c r="I59" s="201"/>
      <c r="J59" s="209"/>
    </row>
    <row r="60" spans="1:10" ht="14">
      <c r="A60" s="200"/>
      <c r="B60" s="201"/>
      <c r="C60" s="206">
        <f t="shared" si="1"/>
        <v>0</v>
      </c>
      <c r="D60" s="201"/>
      <c r="E60" s="207">
        <f t="shared" si="0"/>
        <v>0</v>
      </c>
      <c r="F60" s="201"/>
      <c r="G60" s="208"/>
      <c r="H60" s="201"/>
      <c r="I60" s="201"/>
      <c r="J60" s="209"/>
    </row>
    <row r="61" spans="1:10" ht="14">
      <c r="A61" s="200"/>
      <c r="B61" s="201"/>
      <c r="C61" s="206">
        <f t="shared" si="1"/>
        <v>0</v>
      </c>
      <c r="D61" s="201"/>
      <c r="E61" s="207">
        <f t="shared" si="0"/>
        <v>0</v>
      </c>
      <c r="F61" s="201"/>
      <c r="G61" s="208"/>
      <c r="H61" s="201"/>
      <c r="I61" s="201"/>
      <c r="J61" s="209"/>
    </row>
    <row r="62" spans="1:10" ht="14">
      <c r="A62" s="200"/>
      <c r="B62" s="201"/>
      <c r="C62" s="206">
        <f t="shared" si="1"/>
        <v>0</v>
      </c>
      <c r="D62" s="201"/>
      <c r="E62" s="207">
        <f t="shared" si="0"/>
        <v>0</v>
      </c>
      <c r="F62" s="201"/>
      <c r="G62" s="208"/>
      <c r="H62" s="201"/>
      <c r="I62" s="201"/>
      <c r="J62" s="209"/>
    </row>
    <row r="63" spans="1:10" ht="14">
      <c r="A63" s="200"/>
      <c r="B63" s="201"/>
      <c r="C63" s="206">
        <f t="shared" si="1"/>
        <v>0</v>
      </c>
      <c r="D63" s="201"/>
      <c r="E63" s="207">
        <f t="shared" si="0"/>
        <v>0</v>
      </c>
      <c r="F63" s="201"/>
      <c r="G63" s="208"/>
      <c r="H63" s="201"/>
      <c r="I63" s="201"/>
      <c r="J63" s="209"/>
    </row>
    <row r="64" spans="1:10" ht="14">
      <c r="A64" s="200"/>
      <c r="B64" s="201"/>
      <c r="C64" s="206">
        <f t="shared" si="1"/>
        <v>0</v>
      </c>
      <c r="D64" s="201"/>
      <c r="E64" s="207">
        <f t="shared" si="0"/>
        <v>0</v>
      </c>
      <c r="F64" s="201"/>
      <c r="G64" s="208"/>
      <c r="H64" s="201"/>
      <c r="I64" s="201"/>
      <c r="J64" s="209"/>
    </row>
    <row r="65" spans="1:10" ht="14">
      <c r="A65" s="200"/>
      <c r="B65" s="201"/>
      <c r="C65" s="206">
        <f t="shared" si="1"/>
        <v>0</v>
      </c>
      <c r="D65" s="201"/>
      <c r="E65" s="207">
        <f t="shared" si="0"/>
        <v>0</v>
      </c>
      <c r="F65" s="201"/>
      <c r="G65" s="208"/>
      <c r="H65" s="201"/>
      <c r="I65" s="201"/>
      <c r="J65" s="209"/>
    </row>
    <row r="66" spans="1:10" ht="14">
      <c r="A66" s="200"/>
      <c r="B66" s="201"/>
      <c r="C66" s="206">
        <f t="shared" si="1"/>
        <v>0</v>
      </c>
      <c r="D66" s="201"/>
      <c r="E66" s="207">
        <f t="shared" si="0"/>
        <v>0</v>
      </c>
      <c r="F66" s="201"/>
      <c r="G66" s="208"/>
      <c r="H66" s="201"/>
      <c r="I66" s="201"/>
      <c r="J66" s="209"/>
    </row>
    <row r="67" spans="1:10" ht="14">
      <c r="A67" s="200"/>
      <c r="B67" s="201"/>
      <c r="C67" s="206">
        <f t="shared" si="1"/>
        <v>0</v>
      </c>
      <c r="D67" s="201"/>
      <c r="E67" s="207">
        <f t="shared" si="0"/>
        <v>0</v>
      </c>
      <c r="F67" s="201"/>
      <c r="G67" s="208"/>
      <c r="H67" s="201"/>
      <c r="I67" s="201"/>
      <c r="J67" s="209"/>
    </row>
    <row r="68" spans="1:10" ht="14">
      <c r="A68" s="200"/>
      <c r="B68" s="201"/>
      <c r="C68" s="206">
        <f t="shared" si="1"/>
        <v>0</v>
      </c>
      <c r="D68" s="201"/>
      <c r="E68" s="207">
        <f t="shared" si="0"/>
        <v>0</v>
      </c>
      <c r="F68" s="201"/>
      <c r="G68" s="208"/>
      <c r="H68" s="201"/>
      <c r="I68" s="201"/>
      <c r="J68" s="209"/>
    </row>
    <row r="69" spans="1:10" ht="14">
      <c r="A69" s="200"/>
      <c r="B69" s="201"/>
      <c r="C69" s="206">
        <f t="shared" si="1"/>
        <v>0</v>
      </c>
      <c r="D69" s="201"/>
      <c r="E69" s="207">
        <f t="shared" si="0"/>
        <v>0</v>
      </c>
      <c r="F69" s="201"/>
      <c r="G69" s="208"/>
      <c r="H69" s="201"/>
      <c r="I69" s="201"/>
      <c r="J69" s="209"/>
    </row>
    <row r="70" spans="1:10" ht="14">
      <c r="A70" s="200"/>
      <c r="B70" s="201"/>
      <c r="C70" s="206">
        <f t="shared" si="1"/>
        <v>0</v>
      </c>
      <c r="D70" s="201"/>
      <c r="E70" s="207">
        <f t="shared" si="0"/>
        <v>0</v>
      </c>
      <c r="F70" s="201"/>
      <c r="G70" s="208"/>
      <c r="H70" s="201"/>
      <c r="I70" s="201"/>
      <c r="J70" s="209"/>
    </row>
    <row r="71" spans="1:10" ht="14">
      <c r="A71" s="200"/>
      <c r="B71" s="201"/>
      <c r="C71" s="206">
        <f t="shared" si="1"/>
        <v>0</v>
      </c>
      <c r="D71" s="201"/>
      <c r="E71" s="207">
        <f t="shared" si="0"/>
        <v>0</v>
      </c>
      <c r="F71" s="201"/>
      <c r="G71" s="208"/>
      <c r="H71" s="201"/>
      <c r="I71" s="201"/>
      <c r="J71" s="209"/>
    </row>
    <row r="72" spans="1:10" ht="14">
      <c r="A72" s="200"/>
      <c r="B72" s="201"/>
      <c r="C72" s="206">
        <f t="shared" si="1"/>
        <v>0</v>
      </c>
      <c r="D72" s="201"/>
      <c r="E72" s="207">
        <f t="shared" ref="E72:E90" si="2">IF(D72=0,0,C72/D72)</f>
        <v>0</v>
      </c>
      <c r="F72" s="201"/>
      <c r="G72" s="208"/>
      <c r="H72" s="201"/>
      <c r="I72" s="201"/>
      <c r="J72" s="209"/>
    </row>
    <row r="73" spans="1:10" ht="14">
      <c r="A73" s="200"/>
      <c r="B73" s="201"/>
      <c r="C73" s="206">
        <f t="shared" si="1"/>
        <v>0</v>
      </c>
      <c r="D73" s="201"/>
      <c r="E73" s="207">
        <f t="shared" si="2"/>
        <v>0</v>
      </c>
      <c r="F73" s="201"/>
      <c r="G73" s="208"/>
      <c r="H73" s="201"/>
      <c r="I73" s="201"/>
      <c r="J73" s="209"/>
    </row>
    <row r="74" spans="1:10" ht="14">
      <c r="A74" s="200"/>
      <c r="B74" s="201"/>
      <c r="C74" s="206">
        <f>IF(B74=0,0,B74-B73)</f>
        <v>0</v>
      </c>
      <c r="D74" s="201"/>
      <c r="E74" s="207">
        <f t="shared" si="2"/>
        <v>0</v>
      </c>
      <c r="F74" s="201"/>
      <c r="G74" s="208"/>
      <c r="H74" s="201"/>
      <c r="I74" s="201"/>
      <c r="J74" s="209"/>
    </row>
    <row r="75" spans="1:10" ht="14">
      <c r="A75" s="200"/>
      <c r="B75" s="201"/>
      <c r="C75" s="206">
        <f>IF(B75=0,0,B75-B74)</f>
        <v>0</v>
      </c>
      <c r="D75" s="201"/>
      <c r="E75" s="207">
        <f t="shared" si="2"/>
        <v>0</v>
      </c>
      <c r="F75" s="201"/>
      <c r="G75" s="208"/>
      <c r="H75" s="201"/>
      <c r="I75" s="201"/>
      <c r="J75" s="209"/>
    </row>
    <row r="76" spans="1:10" ht="14">
      <c r="A76" s="200"/>
      <c r="B76" s="201"/>
      <c r="C76" s="206">
        <f t="shared" ref="C76:C90" si="3">IF(B76=0,0,B76-B75)</f>
        <v>0</v>
      </c>
      <c r="D76" s="201"/>
      <c r="E76" s="207">
        <f t="shared" si="2"/>
        <v>0</v>
      </c>
      <c r="F76" s="201"/>
      <c r="G76" s="208"/>
      <c r="H76" s="201"/>
      <c r="I76" s="201"/>
      <c r="J76" s="209"/>
    </row>
    <row r="77" spans="1:10" ht="14">
      <c r="A77" s="200"/>
      <c r="B77" s="201"/>
      <c r="C77" s="206">
        <f t="shared" si="3"/>
        <v>0</v>
      </c>
      <c r="D77" s="201"/>
      <c r="E77" s="207">
        <f t="shared" si="2"/>
        <v>0</v>
      </c>
      <c r="F77" s="201"/>
      <c r="G77" s="208"/>
      <c r="H77" s="201"/>
      <c r="I77" s="201"/>
      <c r="J77" s="209"/>
    </row>
    <row r="78" spans="1:10" ht="14">
      <c r="A78" s="200"/>
      <c r="B78" s="201"/>
      <c r="C78" s="206">
        <f t="shared" si="3"/>
        <v>0</v>
      </c>
      <c r="D78" s="201"/>
      <c r="E78" s="207">
        <f t="shared" si="2"/>
        <v>0</v>
      </c>
      <c r="F78" s="201"/>
      <c r="G78" s="208"/>
      <c r="H78" s="201"/>
      <c r="I78" s="201"/>
      <c r="J78" s="209"/>
    </row>
    <row r="79" spans="1:10" ht="14">
      <c r="A79" s="200"/>
      <c r="B79" s="201"/>
      <c r="C79" s="206">
        <f t="shared" si="3"/>
        <v>0</v>
      </c>
      <c r="D79" s="201"/>
      <c r="E79" s="207">
        <f t="shared" si="2"/>
        <v>0</v>
      </c>
      <c r="F79" s="201"/>
      <c r="G79" s="208"/>
      <c r="H79" s="201"/>
      <c r="I79" s="201"/>
      <c r="J79" s="209"/>
    </row>
    <row r="80" spans="1:10" ht="14">
      <c r="A80" s="200"/>
      <c r="B80" s="201"/>
      <c r="C80" s="206">
        <f t="shared" si="3"/>
        <v>0</v>
      </c>
      <c r="D80" s="201"/>
      <c r="E80" s="207">
        <f t="shared" si="2"/>
        <v>0</v>
      </c>
      <c r="F80" s="201"/>
      <c r="G80" s="208"/>
      <c r="H80" s="201"/>
      <c r="I80" s="201"/>
      <c r="J80" s="209"/>
    </row>
    <row r="81" spans="1:10" ht="14">
      <c r="A81" s="200"/>
      <c r="B81" s="201"/>
      <c r="C81" s="206">
        <f t="shared" si="3"/>
        <v>0</v>
      </c>
      <c r="D81" s="201"/>
      <c r="E81" s="207">
        <f t="shared" si="2"/>
        <v>0</v>
      </c>
      <c r="F81" s="201"/>
      <c r="G81" s="208"/>
      <c r="H81" s="201"/>
      <c r="I81" s="201"/>
      <c r="J81" s="209"/>
    </row>
    <row r="82" spans="1:10" ht="14">
      <c r="A82" s="200"/>
      <c r="B82" s="201"/>
      <c r="C82" s="206">
        <f t="shared" si="3"/>
        <v>0</v>
      </c>
      <c r="D82" s="201"/>
      <c r="E82" s="207">
        <f t="shared" si="2"/>
        <v>0</v>
      </c>
      <c r="F82" s="201"/>
      <c r="G82" s="208"/>
      <c r="H82" s="201"/>
      <c r="I82" s="201"/>
      <c r="J82" s="209"/>
    </row>
    <row r="83" spans="1:10" ht="14">
      <c r="A83" s="200"/>
      <c r="B83" s="201"/>
      <c r="C83" s="206">
        <f t="shared" si="3"/>
        <v>0</v>
      </c>
      <c r="D83" s="201"/>
      <c r="E83" s="207">
        <f t="shared" si="2"/>
        <v>0</v>
      </c>
      <c r="F83" s="201"/>
      <c r="G83" s="208"/>
      <c r="H83" s="201"/>
      <c r="I83" s="201"/>
      <c r="J83" s="209"/>
    </row>
    <row r="84" spans="1:10" ht="14">
      <c r="A84" s="200"/>
      <c r="B84" s="201"/>
      <c r="C84" s="206">
        <f t="shared" si="3"/>
        <v>0</v>
      </c>
      <c r="D84" s="201"/>
      <c r="E84" s="207">
        <f t="shared" si="2"/>
        <v>0</v>
      </c>
      <c r="F84" s="201"/>
      <c r="G84" s="208"/>
      <c r="H84" s="201"/>
      <c r="I84" s="201"/>
      <c r="J84" s="209"/>
    </row>
    <row r="85" spans="1:10" ht="14">
      <c r="A85" s="200"/>
      <c r="B85" s="201"/>
      <c r="C85" s="206">
        <f t="shared" si="3"/>
        <v>0</v>
      </c>
      <c r="D85" s="201"/>
      <c r="E85" s="207">
        <f t="shared" si="2"/>
        <v>0</v>
      </c>
      <c r="F85" s="201"/>
      <c r="G85" s="208"/>
      <c r="H85" s="201"/>
      <c r="I85" s="201"/>
      <c r="J85" s="209"/>
    </row>
    <row r="86" spans="1:10" ht="14">
      <c r="A86" s="200"/>
      <c r="B86" s="201"/>
      <c r="C86" s="206">
        <f t="shared" si="3"/>
        <v>0</v>
      </c>
      <c r="D86" s="201"/>
      <c r="E86" s="207">
        <f t="shared" si="2"/>
        <v>0</v>
      </c>
      <c r="F86" s="201"/>
      <c r="G86" s="208"/>
      <c r="H86" s="201"/>
      <c r="I86" s="201"/>
      <c r="J86" s="209"/>
    </row>
    <row r="87" spans="1:10" ht="14">
      <c r="A87" s="200"/>
      <c r="B87" s="201"/>
      <c r="C87" s="206">
        <f t="shared" si="3"/>
        <v>0</v>
      </c>
      <c r="D87" s="201"/>
      <c r="E87" s="207">
        <f t="shared" si="2"/>
        <v>0</v>
      </c>
      <c r="F87" s="201"/>
      <c r="G87" s="208"/>
      <c r="H87" s="201"/>
      <c r="I87" s="201"/>
      <c r="J87" s="209"/>
    </row>
    <row r="88" spans="1:10" ht="14">
      <c r="A88" s="200"/>
      <c r="B88" s="201"/>
      <c r="C88" s="206">
        <f t="shared" si="3"/>
        <v>0</v>
      </c>
      <c r="D88" s="201"/>
      <c r="E88" s="207">
        <f t="shared" si="2"/>
        <v>0</v>
      </c>
      <c r="F88" s="201"/>
      <c r="G88" s="208"/>
      <c r="H88" s="201"/>
      <c r="I88" s="201"/>
      <c r="J88" s="209"/>
    </row>
    <row r="89" spans="1:10" ht="14">
      <c r="A89" s="200"/>
      <c r="B89" s="201"/>
      <c r="C89" s="206">
        <f t="shared" si="3"/>
        <v>0</v>
      </c>
      <c r="D89" s="201"/>
      <c r="E89" s="207">
        <f t="shared" si="2"/>
        <v>0</v>
      </c>
      <c r="F89" s="201"/>
      <c r="G89" s="208"/>
      <c r="H89" s="201"/>
      <c r="I89" s="201"/>
      <c r="J89" s="209"/>
    </row>
    <row r="90" spans="1:10" ht="14">
      <c r="A90" s="200"/>
      <c r="B90" s="201"/>
      <c r="C90" s="206">
        <f t="shared" si="3"/>
        <v>0</v>
      </c>
      <c r="D90" s="201"/>
      <c r="E90" s="207">
        <f t="shared" si="2"/>
        <v>0</v>
      </c>
      <c r="F90" s="201"/>
      <c r="G90" s="208"/>
      <c r="H90" s="201"/>
      <c r="I90" s="201"/>
      <c r="J90" s="209"/>
    </row>
  </sheetData>
  <sheetProtection formatCells="0"/>
  <mergeCells count="7">
    <mergeCell ref="A3:J3"/>
    <mergeCell ref="A5:A6"/>
    <mergeCell ref="B5:B6"/>
    <mergeCell ref="C5:C6"/>
    <mergeCell ref="D5:D6"/>
    <mergeCell ref="E5:E6"/>
    <mergeCell ref="J5:J6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/>
  <dimension ref="A1:V37"/>
  <sheetViews>
    <sheetView workbookViewId="0">
      <selection activeCell="Q19" sqref="Q19"/>
    </sheetView>
  </sheetViews>
  <sheetFormatPr defaultRowHeight="12.5"/>
  <cols>
    <col min="1" max="1" width="14.81640625" customWidth="1"/>
    <col min="2" max="2" width="9.7265625" customWidth="1"/>
    <col min="3" max="3" width="9" customWidth="1"/>
    <col min="4" max="4" width="9.81640625" customWidth="1"/>
    <col min="6" max="6" width="6.54296875" customWidth="1"/>
    <col min="7" max="7" width="11" customWidth="1"/>
  </cols>
  <sheetData>
    <row r="1" spans="1:22" ht="23">
      <c r="A1" s="485" t="s">
        <v>211</v>
      </c>
      <c r="B1" s="485"/>
      <c r="C1" s="485"/>
      <c r="D1" s="485"/>
      <c r="E1" s="485"/>
      <c r="F1" s="485"/>
      <c r="G1" s="485"/>
      <c r="H1" s="485"/>
      <c r="I1" s="485"/>
      <c r="J1" s="168"/>
      <c r="K1" s="241"/>
      <c r="L1" s="241"/>
      <c r="M1" s="241"/>
      <c r="N1" s="241"/>
      <c r="O1" s="241"/>
      <c r="P1" s="241"/>
      <c r="Q1" s="241"/>
      <c r="R1" s="241"/>
      <c r="S1" s="241"/>
      <c r="T1" s="241"/>
      <c r="U1" s="241"/>
      <c r="V1" s="241"/>
    </row>
    <row r="2" spans="1:22" ht="14">
      <c r="A2" s="486"/>
      <c r="B2" s="486"/>
      <c r="C2" s="486"/>
      <c r="D2" s="486"/>
      <c r="E2" s="486"/>
      <c r="F2" s="486"/>
      <c r="G2" s="486"/>
      <c r="H2" s="486"/>
      <c r="I2" s="486"/>
      <c r="O2" s="127"/>
      <c r="P2" s="127" t="s">
        <v>128</v>
      </c>
      <c r="Q2" s="127"/>
      <c r="R2" s="127"/>
    </row>
    <row r="3" spans="1:22" ht="14.5">
      <c r="A3" s="486" t="s">
        <v>101</v>
      </c>
      <c r="B3" s="486"/>
      <c r="C3" s="486"/>
      <c r="D3" s="486"/>
      <c r="E3" s="486"/>
      <c r="F3" s="486"/>
      <c r="G3" s="486"/>
      <c r="H3" s="486"/>
      <c r="I3" s="486"/>
      <c r="O3" s="240" t="s">
        <v>126</v>
      </c>
      <c r="P3" s="126" t="s">
        <v>124</v>
      </c>
    </row>
    <row r="4" spans="1:22" ht="14.5">
      <c r="A4" s="486"/>
      <c r="B4" s="486"/>
      <c r="C4" s="486"/>
      <c r="D4" s="486"/>
      <c r="E4" s="486"/>
      <c r="F4" s="486"/>
      <c r="G4" s="486"/>
      <c r="H4" s="486"/>
      <c r="I4" s="486"/>
      <c r="O4" s="240" t="s">
        <v>127</v>
      </c>
      <c r="P4" s="126" t="s">
        <v>125</v>
      </c>
    </row>
    <row r="5" spans="1:22" ht="14">
      <c r="A5" s="487" t="s">
        <v>212</v>
      </c>
      <c r="B5" s="487"/>
      <c r="C5" s="488"/>
      <c r="D5" s="489" t="s">
        <v>213</v>
      </c>
      <c r="E5" s="487"/>
      <c r="F5" s="488"/>
      <c r="G5" s="487" t="s">
        <v>214</v>
      </c>
      <c r="H5" s="487"/>
      <c r="I5" s="487"/>
      <c r="J5" s="19"/>
      <c r="K5" s="19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</row>
    <row r="6" spans="1:22">
      <c r="A6" s="224" t="s">
        <v>215</v>
      </c>
      <c r="B6" s="483"/>
      <c r="C6" s="484"/>
      <c r="D6" s="242" t="s">
        <v>216</v>
      </c>
      <c r="E6" s="394"/>
      <c r="F6" s="474"/>
      <c r="G6" s="224" t="s">
        <v>217</v>
      </c>
      <c r="H6" s="394"/>
      <c r="I6" s="394"/>
    </row>
    <row r="7" spans="1:22">
      <c r="A7" s="224" t="s">
        <v>218</v>
      </c>
      <c r="B7" s="480"/>
      <c r="C7" s="481"/>
      <c r="D7" s="242" t="s">
        <v>219</v>
      </c>
      <c r="E7" s="394"/>
      <c r="F7" s="474"/>
      <c r="G7" s="224" t="s">
        <v>220</v>
      </c>
      <c r="H7" s="394"/>
      <c r="I7" s="394"/>
    </row>
    <row r="8" spans="1:22">
      <c r="A8" s="224" t="s">
        <v>221</v>
      </c>
      <c r="B8" s="480"/>
      <c r="C8" s="481"/>
      <c r="D8" s="242" t="s">
        <v>222</v>
      </c>
      <c r="E8" s="394"/>
      <c r="F8" s="474"/>
      <c r="G8" s="224" t="s">
        <v>223</v>
      </c>
      <c r="H8" s="394"/>
      <c r="I8" s="394"/>
    </row>
    <row r="9" spans="1:22">
      <c r="A9" s="224" t="s">
        <v>224</v>
      </c>
      <c r="B9" s="480"/>
      <c r="C9" s="481"/>
      <c r="D9" s="242" t="s">
        <v>225</v>
      </c>
      <c r="E9" s="394"/>
      <c r="F9" s="474"/>
      <c r="G9" s="224" t="s">
        <v>226</v>
      </c>
      <c r="H9" s="482"/>
      <c r="I9" s="482"/>
    </row>
    <row r="10" spans="1:22">
      <c r="A10" s="224" t="s">
        <v>227</v>
      </c>
      <c r="B10" s="480"/>
      <c r="C10" s="481"/>
      <c r="D10" s="242" t="s">
        <v>228</v>
      </c>
      <c r="E10" s="394"/>
      <c r="F10" s="474"/>
      <c r="G10" s="224" t="s">
        <v>229</v>
      </c>
      <c r="H10" s="475"/>
      <c r="I10" s="475"/>
    </row>
    <row r="11" spans="1:22">
      <c r="A11" s="224" t="s">
        <v>230</v>
      </c>
      <c r="B11" s="480"/>
      <c r="C11" s="481"/>
      <c r="D11" s="243"/>
      <c r="E11" s="394"/>
      <c r="F11" s="474"/>
      <c r="G11" s="224" t="s">
        <v>231</v>
      </c>
      <c r="H11" s="482"/>
      <c r="I11" s="482"/>
    </row>
    <row r="12" spans="1:22">
      <c r="A12" s="224" t="s">
        <v>232</v>
      </c>
      <c r="B12" s="472"/>
      <c r="C12" s="473"/>
      <c r="D12" s="244"/>
      <c r="E12" s="394"/>
      <c r="F12" s="474"/>
      <c r="G12" s="224" t="s">
        <v>233</v>
      </c>
      <c r="H12" s="475"/>
      <c r="I12" s="475"/>
    </row>
    <row r="13" spans="1:22" ht="14">
      <c r="A13" s="449" t="s">
        <v>234</v>
      </c>
      <c r="B13" s="449"/>
      <c r="C13" s="449"/>
      <c r="D13" s="449"/>
      <c r="E13" s="449"/>
      <c r="F13" s="449"/>
      <c r="G13" s="449"/>
      <c r="H13" s="449"/>
      <c r="I13" s="449"/>
      <c r="J13" s="19"/>
      <c r="K13" s="19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</row>
    <row r="14" spans="1:22">
      <c r="A14" s="245"/>
      <c r="B14" s="465" t="s">
        <v>235</v>
      </c>
      <c r="C14" s="450"/>
      <c r="D14" s="246"/>
      <c r="E14" s="476"/>
      <c r="F14" s="477"/>
      <c r="G14" s="478"/>
      <c r="H14" s="476"/>
      <c r="I14" s="479"/>
    </row>
    <row r="15" spans="1:22">
      <c r="A15" s="247" t="s">
        <v>236</v>
      </c>
      <c r="B15" s="248" t="s">
        <v>46</v>
      </c>
      <c r="C15" s="249" t="s">
        <v>47</v>
      </c>
      <c r="D15" s="221" t="s">
        <v>14</v>
      </c>
      <c r="E15" s="465" t="s">
        <v>237</v>
      </c>
      <c r="F15" s="450"/>
      <c r="G15" s="466"/>
      <c r="H15" s="467" t="s">
        <v>238</v>
      </c>
      <c r="I15" s="451"/>
    </row>
    <row r="16" spans="1:22">
      <c r="A16" s="250"/>
      <c r="B16" s="251"/>
      <c r="C16" s="252"/>
      <c r="D16" s="253"/>
      <c r="E16" s="468"/>
      <c r="F16" s="469"/>
      <c r="G16" s="470"/>
      <c r="H16" s="468"/>
      <c r="I16" s="471"/>
    </row>
    <row r="17" spans="1:22">
      <c r="A17" s="254"/>
      <c r="B17" s="255"/>
      <c r="C17" s="256"/>
      <c r="D17" s="257"/>
      <c r="E17" s="452"/>
      <c r="F17" s="453"/>
      <c r="G17" s="454"/>
      <c r="H17" s="452"/>
      <c r="I17" s="455"/>
    </row>
    <row r="18" spans="1:22">
      <c r="A18" s="258"/>
      <c r="B18" s="259"/>
      <c r="C18" s="260"/>
      <c r="D18" s="261"/>
      <c r="E18" s="452"/>
      <c r="F18" s="453"/>
      <c r="G18" s="454"/>
      <c r="H18" s="452"/>
      <c r="I18" s="455"/>
    </row>
    <row r="19" spans="1:22">
      <c r="A19" s="258"/>
      <c r="B19" s="255"/>
      <c r="C19" s="256"/>
      <c r="D19" s="257"/>
      <c r="E19" s="452"/>
      <c r="F19" s="453"/>
      <c r="G19" s="454"/>
      <c r="H19" s="452"/>
      <c r="I19" s="455"/>
    </row>
    <row r="20" spans="1:22">
      <c r="A20" s="258"/>
      <c r="B20" s="255"/>
      <c r="C20" s="256"/>
      <c r="D20" s="257"/>
      <c r="E20" s="458"/>
      <c r="F20" s="459"/>
      <c r="G20" s="460"/>
      <c r="H20" s="458"/>
      <c r="I20" s="459"/>
    </row>
    <row r="21" spans="1:22">
      <c r="A21" s="262"/>
      <c r="B21" s="263"/>
      <c r="C21" s="264"/>
      <c r="D21" s="265"/>
      <c r="E21" s="461"/>
      <c r="F21" s="462"/>
      <c r="G21" s="463"/>
      <c r="H21" s="461"/>
      <c r="I21" s="464"/>
    </row>
    <row r="22" spans="1:22">
      <c r="A22" s="266"/>
      <c r="B22" s="445" t="s">
        <v>239</v>
      </c>
      <c r="C22" s="445"/>
      <c r="D22" s="267">
        <f>SUM(D16:D21)</f>
        <v>0</v>
      </c>
      <c r="E22" s="446"/>
      <c r="F22" s="447"/>
      <c r="G22" s="448"/>
      <c r="H22" s="447"/>
      <c r="I22" s="447"/>
    </row>
    <row r="23" spans="1:22" ht="14">
      <c r="A23" s="449" t="s">
        <v>240</v>
      </c>
      <c r="B23" s="449"/>
      <c r="C23" s="449"/>
      <c r="D23" s="449"/>
      <c r="E23" s="449"/>
      <c r="F23" s="449"/>
      <c r="G23" s="449"/>
      <c r="H23" s="449"/>
      <c r="I23" s="449"/>
      <c r="J23" s="19"/>
      <c r="K23" s="19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</row>
    <row r="24" spans="1:22" ht="23">
      <c r="A24" s="268" t="s">
        <v>171</v>
      </c>
      <c r="B24" s="269" t="s">
        <v>241</v>
      </c>
      <c r="C24" s="269" t="s">
        <v>242</v>
      </c>
      <c r="D24" s="269" t="s">
        <v>243</v>
      </c>
      <c r="E24" s="450" t="s">
        <v>244</v>
      </c>
      <c r="F24" s="450"/>
      <c r="G24" s="450"/>
      <c r="H24" s="450"/>
      <c r="I24" s="451"/>
    </row>
    <row r="25" spans="1:22">
      <c r="A25" s="270"/>
      <c r="B25" s="271"/>
      <c r="C25" s="271"/>
      <c r="D25" s="272">
        <f>IF(B25=0,0,C25-B25)</f>
        <v>0</v>
      </c>
      <c r="E25" s="456"/>
      <c r="F25" s="456"/>
      <c r="G25" s="456"/>
      <c r="H25" s="456"/>
      <c r="I25" s="457"/>
    </row>
    <row r="26" spans="1:22">
      <c r="A26" s="273"/>
      <c r="B26" s="274"/>
      <c r="C26" s="274"/>
      <c r="D26" s="275">
        <f t="shared" ref="D26:D35" si="0">IF(B26=0,0,C26-B26)</f>
        <v>0</v>
      </c>
      <c r="E26" s="439"/>
      <c r="F26" s="439"/>
      <c r="G26" s="439"/>
      <c r="H26" s="439"/>
      <c r="I26" s="440"/>
    </row>
    <row r="27" spans="1:22">
      <c r="A27" s="276"/>
      <c r="B27" s="274"/>
      <c r="C27" s="274"/>
      <c r="D27" s="275">
        <f t="shared" si="0"/>
        <v>0</v>
      </c>
      <c r="E27" s="439"/>
      <c r="F27" s="439"/>
      <c r="G27" s="439"/>
      <c r="H27" s="439"/>
      <c r="I27" s="440"/>
    </row>
    <row r="28" spans="1:22">
      <c r="A28" s="277"/>
      <c r="B28" s="274"/>
      <c r="C28" s="274"/>
      <c r="D28" s="275">
        <f t="shared" si="0"/>
        <v>0</v>
      </c>
      <c r="E28" s="439"/>
      <c r="F28" s="439"/>
      <c r="G28" s="439"/>
      <c r="H28" s="439"/>
      <c r="I28" s="440"/>
    </row>
    <row r="29" spans="1:22">
      <c r="A29" s="273"/>
      <c r="B29" s="274"/>
      <c r="C29" s="274"/>
      <c r="D29" s="275">
        <f t="shared" si="0"/>
        <v>0</v>
      </c>
      <c r="E29" s="439"/>
      <c r="F29" s="439"/>
      <c r="G29" s="439"/>
      <c r="H29" s="439"/>
      <c r="I29" s="440"/>
    </row>
    <row r="30" spans="1:22">
      <c r="A30" s="273"/>
      <c r="B30" s="274"/>
      <c r="C30" s="274"/>
      <c r="D30" s="275">
        <f>IF(B30=0,0,C30-B30)</f>
        <v>0</v>
      </c>
      <c r="E30" s="439"/>
      <c r="F30" s="439"/>
      <c r="G30" s="439"/>
      <c r="H30" s="439"/>
      <c r="I30" s="440"/>
    </row>
    <row r="31" spans="1:22">
      <c r="A31" s="273"/>
      <c r="B31" s="274"/>
      <c r="C31" s="274"/>
      <c r="D31" s="275">
        <f t="shared" si="0"/>
        <v>0</v>
      </c>
      <c r="E31" s="439"/>
      <c r="F31" s="439"/>
      <c r="G31" s="439"/>
      <c r="H31" s="439"/>
      <c r="I31" s="440"/>
    </row>
    <row r="32" spans="1:22">
      <c r="A32" s="273"/>
      <c r="B32" s="274"/>
      <c r="C32" s="274"/>
      <c r="D32" s="275">
        <f t="shared" si="0"/>
        <v>0</v>
      </c>
      <c r="E32" s="440"/>
      <c r="F32" s="441"/>
      <c r="G32" s="441"/>
      <c r="H32" s="441"/>
      <c r="I32" s="441"/>
    </row>
    <row r="33" spans="1:22">
      <c r="A33" s="273"/>
      <c r="B33" s="274"/>
      <c r="C33" s="274"/>
      <c r="D33" s="275">
        <f t="shared" si="0"/>
        <v>0</v>
      </c>
      <c r="E33" s="439"/>
      <c r="F33" s="439"/>
      <c r="G33" s="439"/>
      <c r="H33" s="439"/>
      <c r="I33" s="440"/>
    </row>
    <row r="34" spans="1:22">
      <c r="A34" s="273"/>
      <c r="B34" s="274"/>
      <c r="C34" s="274"/>
      <c r="D34" s="275">
        <f t="shared" si="0"/>
        <v>0</v>
      </c>
      <c r="E34" s="439"/>
      <c r="F34" s="439"/>
      <c r="G34" s="439"/>
      <c r="H34" s="439"/>
      <c r="I34" s="440"/>
    </row>
    <row r="35" spans="1:22">
      <c r="A35" s="278"/>
      <c r="B35" s="279"/>
      <c r="C35" s="279"/>
      <c r="D35" s="280">
        <f t="shared" si="0"/>
        <v>0</v>
      </c>
      <c r="E35" s="442"/>
      <c r="F35" s="442"/>
      <c r="G35" s="442"/>
      <c r="H35" s="442"/>
      <c r="I35" s="443"/>
    </row>
    <row r="36" spans="1:22" ht="14">
      <c r="A36" s="444" t="s">
        <v>245</v>
      </c>
      <c r="B36" s="444"/>
      <c r="C36" s="444"/>
      <c r="D36" s="444"/>
      <c r="E36" s="444"/>
      <c r="F36" s="444"/>
      <c r="G36" s="444"/>
      <c r="H36" s="444"/>
      <c r="I36" s="444"/>
      <c r="J36" s="19"/>
      <c r="K36" s="19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</row>
    <row r="37" spans="1:22">
      <c r="A37" s="438"/>
      <c r="B37" s="438"/>
      <c r="C37" s="438"/>
      <c r="D37" s="438"/>
      <c r="E37" s="438"/>
      <c r="F37" s="438"/>
      <c r="G37" s="438"/>
      <c r="H37" s="438"/>
      <c r="I37" s="438"/>
    </row>
  </sheetData>
  <sheetProtection formatCells="0"/>
  <mergeCells count="64">
    <mergeCell ref="A1:I1"/>
    <mergeCell ref="A2:I2"/>
    <mergeCell ref="A3:I3"/>
    <mergeCell ref="A4:I4"/>
    <mergeCell ref="A5:C5"/>
    <mergeCell ref="D5:F5"/>
    <mergeCell ref="G5:I5"/>
    <mergeCell ref="B6:C6"/>
    <mergeCell ref="E6:F6"/>
    <mergeCell ref="H6:I6"/>
    <mergeCell ref="B7:C7"/>
    <mergeCell ref="E7:F7"/>
    <mergeCell ref="H7:I7"/>
    <mergeCell ref="B8:C8"/>
    <mergeCell ref="E8:F8"/>
    <mergeCell ref="H8:I8"/>
    <mergeCell ref="B9:C9"/>
    <mergeCell ref="E9:F9"/>
    <mergeCell ref="H9:I9"/>
    <mergeCell ref="B10:C10"/>
    <mergeCell ref="E10:F10"/>
    <mergeCell ref="H10:I10"/>
    <mergeCell ref="B11:C11"/>
    <mergeCell ref="E11:F11"/>
    <mergeCell ref="H11:I11"/>
    <mergeCell ref="B12:C12"/>
    <mergeCell ref="E12:F12"/>
    <mergeCell ref="H12:I12"/>
    <mergeCell ref="A13:I13"/>
    <mergeCell ref="B14:C14"/>
    <mergeCell ref="E14:G14"/>
    <mergeCell ref="H14:I14"/>
    <mergeCell ref="E15:G15"/>
    <mergeCell ref="H15:I15"/>
    <mergeCell ref="E16:G16"/>
    <mergeCell ref="H16:I16"/>
    <mergeCell ref="E17:G17"/>
    <mergeCell ref="H17:I17"/>
    <mergeCell ref="E18:G18"/>
    <mergeCell ref="H18:I18"/>
    <mergeCell ref="E25:I25"/>
    <mergeCell ref="E19:G19"/>
    <mergeCell ref="H19:I19"/>
    <mergeCell ref="E20:G20"/>
    <mergeCell ref="H20:I20"/>
    <mergeCell ref="E21:G21"/>
    <mergeCell ref="H21:I21"/>
    <mergeCell ref="B22:C22"/>
    <mergeCell ref="E22:G22"/>
    <mergeCell ref="H22:I22"/>
    <mergeCell ref="A23:I23"/>
    <mergeCell ref="E24:I24"/>
    <mergeCell ref="A37:I37"/>
    <mergeCell ref="E26:I26"/>
    <mergeCell ref="E27:I27"/>
    <mergeCell ref="E28:I28"/>
    <mergeCell ref="E29:I29"/>
    <mergeCell ref="E30:I30"/>
    <mergeCell ref="E31:I31"/>
    <mergeCell ref="E32:I32"/>
    <mergeCell ref="E33:I33"/>
    <mergeCell ref="E34:I34"/>
    <mergeCell ref="E35:I35"/>
    <mergeCell ref="A36:I36"/>
  </mergeCells>
  <conditionalFormatting sqref="C25:D35">
    <cfRule type="cellIs" dxfId="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6" r:id="rId3" name="Button 2">
              <controlPr defaultSize="0" print="0" autoFill="0" autoPict="0" macro="[4]!AddLogging">
                <anchor moveWithCells="1" sizeWithCells="1">
                  <from>
                    <xdr:col>9</xdr:col>
                    <xdr:colOff>342900</xdr:colOff>
                    <xdr:row>4</xdr:row>
                    <xdr:rowOff>38100</xdr:rowOff>
                  </from>
                  <to>
                    <xdr:col>12</xdr:col>
                    <xdr:colOff>514350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D40"/>
  <sheetViews>
    <sheetView workbookViewId="0">
      <selection activeCell="G11" sqref="G11"/>
    </sheetView>
  </sheetViews>
  <sheetFormatPr defaultRowHeight="12.5"/>
  <cols>
    <col min="1" max="2" width="43.7265625" customWidth="1"/>
    <col min="3" max="3" width="20.7265625" customWidth="1"/>
    <col min="4" max="4" width="9.1796875" customWidth="1"/>
  </cols>
  <sheetData>
    <row r="1" spans="1:4" ht="23">
      <c r="A1" s="350" t="s">
        <v>182</v>
      </c>
      <c r="B1" s="350"/>
      <c r="C1" s="350"/>
      <c r="D1" s="350"/>
    </row>
    <row r="2" spans="1:4" ht="14">
      <c r="A2" s="1"/>
      <c r="B2" s="6"/>
      <c r="C2" s="6"/>
      <c r="D2" s="6"/>
    </row>
    <row r="3" spans="1:4" ht="14">
      <c r="A3" s="413" t="s">
        <v>101</v>
      </c>
      <c r="B3" s="413"/>
      <c r="C3" s="6"/>
      <c r="D3" s="6"/>
    </row>
    <row r="4" spans="1:4" ht="14">
      <c r="A4" s="1"/>
      <c r="B4" s="6"/>
      <c r="C4" s="6"/>
      <c r="D4" s="6"/>
    </row>
    <row r="5" spans="1:4" ht="14">
      <c r="A5" s="210" t="s">
        <v>183</v>
      </c>
      <c r="B5" s="211" t="s">
        <v>184</v>
      </c>
      <c r="C5" s="211" t="s">
        <v>185</v>
      </c>
      <c r="D5" s="1"/>
    </row>
    <row r="6" spans="1:4" ht="14">
      <c r="A6" s="212"/>
      <c r="B6" s="213"/>
      <c r="C6" s="214"/>
      <c r="D6" s="215"/>
    </row>
    <row r="7" spans="1:4" ht="14">
      <c r="A7" s="216"/>
      <c r="B7" s="75"/>
      <c r="C7" s="76"/>
      <c r="D7" s="215"/>
    </row>
    <row r="8" spans="1:4" ht="14">
      <c r="A8" s="216"/>
      <c r="B8" s="75"/>
      <c r="C8" s="76"/>
      <c r="D8" s="215"/>
    </row>
    <row r="9" spans="1:4" ht="14">
      <c r="A9" s="216"/>
      <c r="B9" s="75"/>
      <c r="C9" s="76"/>
      <c r="D9" s="215"/>
    </row>
    <row r="10" spans="1:4" ht="14">
      <c r="A10" s="216"/>
      <c r="B10" s="75"/>
      <c r="C10" s="76"/>
      <c r="D10" s="215"/>
    </row>
    <row r="11" spans="1:4" ht="14">
      <c r="A11" s="216"/>
      <c r="B11" s="75"/>
      <c r="C11" s="76"/>
      <c r="D11" s="215"/>
    </row>
    <row r="12" spans="1:4" ht="14">
      <c r="A12" s="216"/>
      <c r="B12" s="75"/>
      <c r="C12" s="76"/>
      <c r="D12" s="215"/>
    </row>
    <row r="13" spans="1:4" ht="14">
      <c r="A13" s="216"/>
      <c r="B13" s="217"/>
      <c r="C13" s="76"/>
      <c r="D13" s="215"/>
    </row>
    <row r="14" spans="1:4" ht="14">
      <c r="A14" s="216"/>
      <c r="B14" s="75"/>
      <c r="C14" s="76"/>
      <c r="D14" s="215"/>
    </row>
    <row r="15" spans="1:4" ht="14">
      <c r="A15" s="216"/>
      <c r="B15" s="75"/>
      <c r="C15" s="76"/>
      <c r="D15" s="215"/>
    </row>
    <row r="16" spans="1:4" ht="14">
      <c r="A16" s="216"/>
      <c r="B16" s="75"/>
      <c r="C16" s="76"/>
      <c r="D16" s="215"/>
    </row>
    <row r="17" spans="1:4" ht="14">
      <c r="A17" s="216"/>
      <c r="B17" s="75"/>
      <c r="C17" s="76"/>
      <c r="D17" s="1"/>
    </row>
    <row r="18" spans="1:4" ht="14">
      <c r="A18" s="216"/>
      <c r="B18" s="75"/>
      <c r="C18" s="76"/>
      <c r="D18" s="1"/>
    </row>
    <row r="19" spans="1:4" ht="14">
      <c r="A19" s="216"/>
      <c r="B19" s="75"/>
      <c r="C19" s="76"/>
      <c r="D19" s="1"/>
    </row>
    <row r="20" spans="1:4" ht="14">
      <c r="A20" s="216"/>
      <c r="B20" s="75"/>
      <c r="C20" s="76"/>
      <c r="D20" s="1"/>
    </row>
    <row r="21" spans="1:4" ht="14">
      <c r="A21" s="216"/>
      <c r="B21" s="75"/>
      <c r="C21" s="76"/>
      <c r="D21" s="1"/>
    </row>
    <row r="22" spans="1:4" ht="14">
      <c r="A22" s="216"/>
      <c r="B22" s="75"/>
      <c r="C22" s="218"/>
      <c r="D22" s="1"/>
    </row>
    <row r="23" spans="1:4" ht="14">
      <c r="A23" s="216"/>
      <c r="B23" s="75"/>
      <c r="C23" s="76"/>
      <c r="D23" s="1"/>
    </row>
    <row r="24" spans="1:4" ht="14">
      <c r="A24" s="219"/>
      <c r="B24" s="75"/>
      <c r="C24" s="76"/>
      <c r="D24" s="1"/>
    </row>
    <row r="25" spans="1:4" ht="14">
      <c r="A25" s="216"/>
      <c r="B25" s="75"/>
      <c r="C25" s="76"/>
      <c r="D25" s="1"/>
    </row>
    <row r="26" spans="1:4" ht="14">
      <c r="A26" s="216"/>
      <c r="B26" s="75"/>
      <c r="C26" s="76"/>
      <c r="D26" s="1"/>
    </row>
    <row r="27" spans="1:4" ht="14">
      <c r="A27" s="216"/>
      <c r="B27" s="75"/>
      <c r="C27" s="76"/>
      <c r="D27" s="1"/>
    </row>
    <row r="28" spans="1:4" ht="14">
      <c r="A28" s="216"/>
      <c r="B28" s="217"/>
      <c r="C28" s="76"/>
      <c r="D28" s="1"/>
    </row>
    <row r="29" spans="1:4" ht="14">
      <c r="A29" s="219"/>
      <c r="B29" s="75"/>
      <c r="C29" s="76"/>
      <c r="D29" s="1"/>
    </row>
    <row r="30" spans="1:4" ht="14">
      <c r="A30" s="216"/>
      <c r="B30" s="75"/>
      <c r="C30" s="76"/>
      <c r="D30" s="1"/>
    </row>
    <row r="31" spans="1:4" ht="14">
      <c r="A31" s="216"/>
      <c r="B31" s="75"/>
      <c r="C31" s="76"/>
      <c r="D31" s="1"/>
    </row>
    <row r="32" spans="1:4" ht="14">
      <c r="A32" s="219"/>
      <c r="B32" s="75"/>
      <c r="C32" s="76"/>
      <c r="D32" s="1"/>
    </row>
    <row r="33" spans="1:4" ht="14">
      <c r="A33" s="216"/>
      <c r="B33" s="75"/>
      <c r="C33" s="76"/>
      <c r="D33" s="1"/>
    </row>
    <row r="34" spans="1:4" ht="14">
      <c r="A34" s="216"/>
      <c r="B34" s="75"/>
      <c r="C34" s="218"/>
      <c r="D34" s="1"/>
    </row>
    <row r="35" spans="1:4" ht="14">
      <c r="A35" s="216"/>
      <c r="B35" s="75"/>
      <c r="C35" s="76"/>
      <c r="D35" s="1"/>
    </row>
    <row r="36" spans="1:4" ht="14">
      <c r="A36" s="216"/>
      <c r="B36" s="75"/>
      <c r="C36" s="76"/>
      <c r="D36" s="1"/>
    </row>
    <row r="37" spans="1:4" ht="14">
      <c r="A37" s="216"/>
      <c r="B37" s="75"/>
      <c r="C37" s="76"/>
      <c r="D37" s="1"/>
    </row>
    <row r="38" spans="1:4" ht="14">
      <c r="A38" s="216"/>
      <c r="B38" s="75"/>
      <c r="C38" s="218"/>
      <c r="D38" s="1"/>
    </row>
    <row r="39" spans="1:4" ht="14">
      <c r="A39" s="219"/>
      <c r="B39" s="75"/>
      <c r="C39" s="76"/>
      <c r="D39" s="1"/>
    </row>
    <row r="40" spans="1:4" ht="14">
      <c r="A40" s="216"/>
      <c r="B40" s="75"/>
      <c r="C40" s="76"/>
      <c r="D40" s="1"/>
    </row>
  </sheetData>
  <sheetProtection formatCells="0"/>
  <mergeCells count="2">
    <mergeCell ref="A1:D1"/>
    <mergeCell ref="A3:B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H50"/>
  <sheetViews>
    <sheetView workbookViewId="0">
      <selection activeCell="A27" sqref="A27"/>
    </sheetView>
  </sheetViews>
  <sheetFormatPr defaultRowHeight="12.5"/>
  <cols>
    <col min="1" max="1" width="14.7265625" customWidth="1"/>
    <col min="2" max="2" width="21" bestFit="1" customWidth="1"/>
    <col min="3" max="3" width="11.7265625" customWidth="1"/>
    <col min="4" max="4" width="10.81640625" customWidth="1"/>
    <col min="5" max="6" width="14.26953125" customWidth="1"/>
    <col min="7" max="7" width="19.54296875" customWidth="1"/>
    <col min="8" max="8" width="27.54296875" customWidth="1"/>
  </cols>
  <sheetData>
    <row r="1" spans="1:8" ht="23">
      <c r="A1" s="21" t="s">
        <v>186</v>
      </c>
      <c r="B1" s="21"/>
      <c r="C1" s="21"/>
      <c r="D1" s="21"/>
      <c r="E1" s="21"/>
      <c r="F1" s="21"/>
      <c r="G1" s="21"/>
      <c r="H1" s="21"/>
    </row>
    <row r="2" spans="1:8">
      <c r="A2" s="220"/>
      <c r="B2" s="220"/>
      <c r="C2" s="220"/>
      <c r="D2" s="220"/>
      <c r="E2" s="220"/>
      <c r="F2" s="220"/>
      <c r="G2" s="220"/>
      <c r="H2" s="220"/>
    </row>
    <row r="3" spans="1:8">
      <c r="A3" s="221"/>
      <c r="B3" s="221"/>
      <c r="C3" s="221"/>
      <c r="D3" s="221"/>
      <c r="E3" s="221"/>
      <c r="F3" s="221"/>
      <c r="G3" s="221"/>
      <c r="H3" s="221"/>
    </row>
    <row r="4" spans="1:8">
      <c r="A4" s="498" t="s">
        <v>187</v>
      </c>
      <c r="B4" s="498"/>
      <c r="C4" s="499"/>
      <c r="D4" s="499"/>
      <c r="E4" s="499"/>
      <c r="F4" s="490" t="s">
        <v>188</v>
      </c>
      <c r="G4" s="490"/>
      <c r="H4" s="222"/>
    </row>
    <row r="5" spans="1:8">
      <c r="A5" s="490" t="s">
        <v>189</v>
      </c>
      <c r="B5" s="490"/>
      <c r="C5" s="491"/>
      <c r="D5" s="491"/>
      <c r="E5" s="491"/>
      <c r="F5" s="490" t="s">
        <v>190</v>
      </c>
      <c r="G5" s="490"/>
      <c r="H5" s="222"/>
    </row>
    <row r="6" spans="1:8">
      <c r="A6" s="490" t="s">
        <v>191</v>
      </c>
      <c r="B6" s="490"/>
      <c r="C6" s="491"/>
      <c r="D6" s="491"/>
      <c r="E6" s="491"/>
      <c r="F6" s="223"/>
      <c r="G6" s="223"/>
      <c r="H6" s="222"/>
    </row>
    <row r="7" spans="1:8">
      <c r="A7" s="224"/>
      <c r="B7" s="220"/>
      <c r="C7" s="491"/>
      <c r="D7" s="491"/>
      <c r="E7" s="491"/>
      <c r="F7" s="220"/>
      <c r="G7" s="220"/>
      <c r="H7" s="225"/>
    </row>
    <row r="8" spans="1:8">
      <c r="A8" s="490" t="s">
        <v>192</v>
      </c>
      <c r="B8" s="490"/>
      <c r="C8" s="491"/>
      <c r="D8" s="491"/>
      <c r="E8" s="491"/>
      <c r="F8" s="490" t="s">
        <v>193</v>
      </c>
      <c r="G8" s="490"/>
      <c r="H8" s="225"/>
    </row>
    <row r="9" spans="1:8">
      <c r="A9" s="490" t="s">
        <v>194</v>
      </c>
      <c r="B9" s="490"/>
      <c r="C9" s="491"/>
      <c r="D9" s="491"/>
      <c r="E9" s="491"/>
      <c r="F9" s="490" t="s">
        <v>195</v>
      </c>
      <c r="G9" s="490"/>
      <c r="H9" s="225"/>
    </row>
    <row r="10" spans="1:8">
      <c r="A10" s="490" t="s">
        <v>196</v>
      </c>
      <c r="B10" s="490"/>
      <c r="C10" s="491"/>
      <c r="D10" s="491"/>
      <c r="E10" s="491"/>
      <c r="F10" s="490" t="s">
        <v>197</v>
      </c>
      <c r="G10" s="490"/>
      <c r="H10" s="225"/>
    </row>
    <row r="11" spans="1:8">
      <c r="A11" s="490" t="s">
        <v>198</v>
      </c>
      <c r="B11" s="490"/>
      <c r="C11" s="491"/>
      <c r="D11" s="491"/>
      <c r="E11" s="491"/>
      <c r="F11" s="490" t="s">
        <v>199</v>
      </c>
      <c r="G11" s="490"/>
      <c r="H11" s="225"/>
    </row>
    <row r="12" spans="1:8">
      <c r="A12" s="224"/>
      <c r="B12" s="224"/>
      <c r="C12" s="220"/>
      <c r="D12" s="220"/>
      <c r="E12" s="220"/>
      <c r="F12" s="220"/>
      <c r="G12" s="226"/>
      <c r="H12" s="220"/>
    </row>
    <row r="13" spans="1:8" ht="23">
      <c r="A13" s="227" t="s">
        <v>200</v>
      </c>
      <c r="B13" s="227" t="s">
        <v>201</v>
      </c>
      <c r="C13" s="492" t="s">
        <v>202</v>
      </c>
      <c r="D13" s="493"/>
      <c r="E13" s="227" t="s">
        <v>203</v>
      </c>
      <c r="F13" s="227" t="s">
        <v>204</v>
      </c>
      <c r="G13" s="227" t="s">
        <v>205</v>
      </c>
      <c r="H13" s="227" t="s">
        <v>206</v>
      </c>
    </row>
    <row r="14" spans="1:8">
      <c r="A14" s="228"/>
      <c r="B14" s="228"/>
      <c r="C14" s="229"/>
      <c r="D14" s="230"/>
      <c r="E14" s="231">
        <f>D14-C14</f>
        <v>0</v>
      </c>
      <c r="F14" s="228"/>
      <c r="G14" s="231">
        <f>IF(F14&gt;0,F14/E14,0)</f>
        <v>0</v>
      </c>
      <c r="H14" s="232"/>
    </row>
    <row r="15" spans="1:8">
      <c r="A15" s="228"/>
      <c r="B15" s="228"/>
      <c r="C15" s="229"/>
      <c r="D15" s="230"/>
      <c r="E15" s="231">
        <f t="shared" ref="E15:E44" si="0">D15-C15</f>
        <v>0</v>
      </c>
      <c r="F15" s="228"/>
      <c r="G15" s="231">
        <f t="shared" ref="G15:G45" si="1">IF(F15&gt;0,F15/E15,0)</f>
        <v>0</v>
      </c>
      <c r="H15" s="232"/>
    </row>
    <row r="16" spans="1:8">
      <c r="A16" s="228"/>
      <c r="B16" s="228"/>
      <c r="C16" s="229"/>
      <c r="D16" s="230"/>
      <c r="E16" s="231">
        <f t="shared" si="0"/>
        <v>0</v>
      </c>
      <c r="F16" s="228"/>
      <c r="G16" s="231">
        <f t="shared" si="1"/>
        <v>0</v>
      </c>
      <c r="H16" s="232"/>
    </row>
    <row r="17" spans="1:8">
      <c r="A17" s="228"/>
      <c r="B17" s="228"/>
      <c r="C17" s="229"/>
      <c r="D17" s="230"/>
      <c r="E17" s="231">
        <f t="shared" si="0"/>
        <v>0</v>
      </c>
      <c r="F17" s="228"/>
      <c r="G17" s="231">
        <f t="shared" si="1"/>
        <v>0</v>
      </c>
      <c r="H17" s="232"/>
    </row>
    <row r="18" spans="1:8">
      <c r="A18" s="228"/>
      <c r="B18" s="228"/>
      <c r="C18" s="229"/>
      <c r="D18" s="230"/>
      <c r="E18" s="231">
        <f t="shared" si="0"/>
        <v>0</v>
      </c>
      <c r="F18" s="228"/>
      <c r="G18" s="231">
        <f t="shared" si="1"/>
        <v>0</v>
      </c>
      <c r="H18" s="232"/>
    </row>
    <row r="19" spans="1:8">
      <c r="A19" s="228"/>
      <c r="B19" s="228"/>
      <c r="C19" s="229"/>
      <c r="D19" s="230"/>
      <c r="E19" s="231">
        <f t="shared" si="0"/>
        <v>0</v>
      </c>
      <c r="F19" s="228"/>
      <c r="G19" s="231">
        <f t="shared" si="1"/>
        <v>0</v>
      </c>
      <c r="H19" s="232"/>
    </row>
    <row r="20" spans="1:8">
      <c r="A20" s="228"/>
      <c r="B20" s="228"/>
      <c r="C20" s="229"/>
      <c r="D20" s="230"/>
      <c r="E20" s="231">
        <f t="shared" si="0"/>
        <v>0</v>
      </c>
      <c r="F20" s="228"/>
      <c r="G20" s="231">
        <f t="shared" si="1"/>
        <v>0</v>
      </c>
      <c r="H20" s="232"/>
    </row>
    <row r="21" spans="1:8">
      <c r="A21" s="228"/>
      <c r="B21" s="228"/>
      <c r="C21" s="229"/>
      <c r="D21" s="230"/>
      <c r="E21" s="231">
        <f t="shared" si="0"/>
        <v>0</v>
      </c>
      <c r="F21" s="228"/>
      <c r="G21" s="231">
        <f t="shared" si="1"/>
        <v>0</v>
      </c>
      <c r="H21" s="232"/>
    </row>
    <row r="22" spans="1:8">
      <c r="A22" s="228"/>
      <c r="B22" s="228"/>
      <c r="C22" s="229"/>
      <c r="D22" s="230"/>
      <c r="E22" s="231">
        <f t="shared" si="0"/>
        <v>0</v>
      </c>
      <c r="F22" s="228"/>
      <c r="G22" s="231">
        <f t="shared" si="1"/>
        <v>0</v>
      </c>
      <c r="H22" s="232"/>
    </row>
    <row r="23" spans="1:8">
      <c r="A23" s="228"/>
      <c r="B23" s="228"/>
      <c r="C23" s="229"/>
      <c r="D23" s="230"/>
      <c r="E23" s="231">
        <f t="shared" si="0"/>
        <v>0</v>
      </c>
      <c r="F23" s="228"/>
      <c r="G23" s="231">
        <f t="shared" si="1"/>
        <v>0</v>
      </c>
      <c r="H23" s="232"/>
    </row>
    <row r="24" spans="1:8">
      <c r="A24" s="228"/>
      <c r="B24" s="228"/>
      <c r="C24" s="229"/>
      <c r="D24" s="230"/>
      <c r="E24" s="231">
        <f t="shared" si="0"/>
        <v>0</v>
      </c>
      <c r="F24" s="228"/>
      <c r="G24" s="231">
        <f t="shared" si="1"/>
        <v>0</v>
      </c>
      <c r="H24" s="232"/>
    </row>
    <row r="25" spans="1:8">
      <c r="A25" s="228"/>
      <c r="B25" s="228"/>
      <c r="C25" s="229"/>
      <c r="D25" s="230"/>
      <c r="E25" s="231">
        <f t="shared" si="0"/>
        <v>0</v>
      </c>
      <c r="F25" s="228"/>
      <c r="G25" s="231">
        <f t="shared" si="1"/>
        <v>0</v>
      </c>
      <c r="H25" s="232"/>
    </row>
    <row r="26" spans="1:8">
      <c r="A26" s="228"/>
      <c r="B26" s="228"/>
      <c r="C26" s="229"/>
      <c r="D26" s="230"/>
      <c r="E26" s="231">
        <f t="shared" si="0"/>
        <v>0</v>
      </c>
      <c r="F26" s="228"/>
      <c r="G26" s="231">
        <f t="shared" si="1"/>
        <v>0</v>
      </c>
      <c r="H26" s="232"/>
    </row>
    <row r="27" spans="1:8">
      <c r="A27" s="228"/>
      <c r="B27" s="228"/>
      <c r="C27" s="229"/>
      <c r="D27" s="230"/>
      <c r="E27" s="231">
        <f t="shared" si="0"/>
        <v>0</v>
      </c>
      <c r="F27" s="228"/>
      <c r="G27" s="231">
        <f t="shared" si="1"/>
        <v>0</v>
      </c>
      <c r="H27" s="232"/>
    </row>
    <row r="28" spans="1:8">
      <c r="A28" s="228"/>
      <c r="B28" s="228"/>
      <c r="C28" s="229"/>
      <c r="D28" s="230"/>
      <c r="E28" s="231">
        <f t="shared" si="0"/>
        <v>0</v>
      </c>
      <c r="F28" s="228"/>
      <c r="G28" s="231">
        <f t="shared" si="1"/>
        <v>0</v>
      </c>
      <c r="H28" s="232"/>
    </row>
    <row r="29" spans="1:8">
      <c r="A29" s="228"/>
      <c r="B29" s="228"/>
      <c r="C29" s="229"/>
      <c r="D29" s="230"/>
      <c r="E29" s="231">
        <f t="shared" si="0"/>
        <v>0</v>
      </c>
      <c r="F29" s="228"/>
      <c r="G29" s="231">
        <f t="shared" si="1"/>
        <v>0</v>
      </c>
      <c r="H29" s="232"/>
    </row>
    <row r="30" spans="1:8">
      <c r="A30" s="228"/>
      <c r="B30" s="228"/>
      <c r="C30" s="229"/>
      <c r="D30" s="230"/>
      <c r="E30" s="231">
        <f t="shared" si="0"/>
        <v>0</v>
      </c>
      <c r="F30" s="228"/>
      <c r="G30" s="231">
        <f t="shared" si="1"/>
        <v>0</v>
      </c>
      <c r="H30" s="232"/>
    </row>
    <row r="31" spans="1:8">
      <c r="A31" s="228"/>
      <c r="B31" s="228"/>
      <c r="C31" s="229"/>
      <c r="D31" s="230"/>
      <c r="E31" s="231">
        <f t="shared" si="0"/>
        <v>0</v>
      </c>
      <c r="F31" s="228"/>
      <c r="G31" s="231">
        <f t="shared" si="1"/>
        <v>0</v>
      </c>
      <c r="H31" s="232"/>
    </row>
    <row r="32" spans="1:8">
      <c r="A32" s="228"/>
      <c r="B32" s="228"/>
      <c r="C32" s="229"/>
      <c r="D32" s="230"/>
      <c r="E32" s="231">
        <f t="shared" si="0"/>
        <v>0</v>
      </c>
      <c r="F32" s="228"/>
      <c r="G32" s="231">
        <f t="shared" si="1"/>
        <v>0</v>
      </c>
      <c r="H32" s="232"/>
    </row>
    <row r="33" spans="1:8">
      <c r="A33" s="228"/>
      <c r="B33" s="228"/>
      <c r="C33" s="229"/>
      <c r="D33" s="230"/>
      <c r="E33" s="231">
        <f t="shared" si="0"/>
        <v>0</v>
      </c>
      <c r="F33" s="228"/>
      <c r="G33" s="231">
        <f t="shared" si="1"/>
        <v>0</v>
      </c>
      <c r="H33" s="232"/>
    </row>
    <row r="34" spans="1:8">
      <c r="A34" s="228"/>
      <c r="B34" s="228"/>
      <c r="C34" s="229"/>
      <c r="D34" s="230"/>
      <c r="E34" s="231">
        <f t="shared" si="0"/>
        <v>0</v>
      </c>
      <c r="F34" s="228"/>
      <c r="G34" s="231">
        <f t="shared" si="1"/>
        <v>0</v>
      </c>
      <c r="H34" s="232"/>
    </row>
    <row r="35" spans="1:8">
      <c r="A35" s="228"/>
      <c r="B35" s="228"/>
      <c r="C35" s="229"/>
      <c r="D35" s="230"/>
      <c r="E35" s="231">
        <f t="shared" si="0"/>
        <v>0</v>
      </c>
      <c r="F35" s="228"/>
      <c r="G35" s="231">
        <f t="shared" si="1"/>
        <v>0</v>
      </c>
      <c r="H35" s="232"/>
    </row>
    <row r="36" spans="1:8">
      <c r="A36" s="228"/>
      <c r="B36" s="228"/>
      <c r="C36" s="229"/>
      <c r="D36" s="230"/>
      <c r="E36" s="231">
        <f t="shared" si="0"/>
        <v>0</v>
      </c>
      <c r="F36" s="228"/>
      <c r="G36" s="231">
        <f t="shared" si="1"/>
        <v>0</v>
      </c>
      <c r="H36" s="232"/>
    </row>
    <row r="37" spans="1:8">
      <c r="A37" s="228"/>
      <c r="B37" s="228"/>
      <c r="C37" s="229"/>
      <c r="D37" s="230"/>
      <c r="E37" s="231">
        <f t="shared" si="0"/>
        <v>0</v>
      </c>
      <c r="F37" s="228"/>
      <c r="G37" s="231">
        <f t="shared" si="1"/>
        <v>0</v>
      </c>
      <c r="H37" s="232"/>
    </row>
    <row r="38" spans="1:8">
      <c r="A38" s="228"/>
      <c r="B38" s="228"/>
      <c r="C38" s="229"/>
      <c r="D38" s="230"/>
      <c r="E38" s="231">
        <f t="shared" si="0"/>
        <v>0</v>
      </c>
      <c r="F38" s="228"/>
      <c r="G38" s="231">
        <f t="shared" si="1"/>
        <v>0</v>
      </c>
      <c r="H38" s="232"/>
    </row>
    <row r="39" spans="1:8">
      <c r="A39" s="228"/>
      <c r="B39" s="228"/>
      <c r="C39" s="229"/>
      <c r="D39" s="230"/>
      <c r="E39" s="231">
        <f t="shared" si="0"/>
        <v>0</v>
      </c>
      <c r="F39" s="228"/>
      <c r="G39" s="231">
        <f t="shared" si="1"/>
        <v>0</v>
      </c>
      <c r="H39" s="232"/>
    </row>
    <row r="40" spans="1:8">
      <c r="A40" s="228"/>
      <c r="B40" s="228"/>
      <c r="C40" s="229"/>
      <c r="D40" s="230"/>
      <c r="E40" s="231">
        <f t="shared" si="0"/>
        <v>0</v>
      </c>
      <c r="F40" s="228"/>
      <c r="G40" s="231">
        <f t="shared" si="1"/>
        <v>0</v>
      </c>
      <c r="H40" s="232"/>
    </row>
    <row r="41" spans="1:8">
      <c r="A41" s="228"/>
      <c r="B41" s="228"/>
      <c r="C41" s="229"/>
      <c r="D41" s="230"/>
      <c r="E41" s="231">
        <f t="shared" si="0"/>
        <v>0</v>
      </c>
      <c r="F41" s="228"/>
      <c r="G41" s="231">
        <f t="shared" si="1"/>
        <v>0</v>
      </c>
      <c r="H41" s="232"/>
    </row>
    <row r="42" spans="1:8">
      <c r="A42" s="228"/>
      <c r="B42" s="228"/>
      <c r="C42" s="229"/>
      <c r="D42" s="230"/>
      <c r="E42" s="231">
        <f t="shared" si="0"/>
        <v>0</v>
      </c>
      <c r="F42" s="228"/>
      <c r="G42" s="231">
        <f t="shared" si="1"/>
        <v>0</v>
      </c>
      <c r="H42" s="232"/>
    </row>
    <row r="43" spans="1:8">
      <c r="A43" s="228"/>
      <c r="B43" s="228"/>
      <c r="C43" s="229"/>
      <c r="D43" s="230"/>
      <c r="E43" s="231">
        <f t="shared" si="0"/>
        <v>0</v>
      </c>
      <c r="F43" s="228"/>
      <c r="G43" s="231">
        <f t="shared" si="1"/>
        <v>0</v>
      </c>
      <c r="H43" s="232"/>
    </row>
    <row r="44" spans="1:8">
      <c r="A44" s="228"/>
      <c r="B44" s="228"/>
      <c r="C44" s="229"/>
      <c r="D44" s="230"/>
      <c r="E44" s="231">
        <f t="shared" si="0"/>
        <v>0</v>
      </c>
      <c r="F44" s="228"/>
      <c r="G44" s="231">
        <f t="shared" si="1"/>
        <v>0</v>
      </c>
      <c r="H44" s="232"/>
    </row>
    <row r="45" spans="1:8">
      <c r="A45" s="227" t="s">
        <v>78</v>
      </c>
      <c r="B45" s="227"/>
      <c r="C45" s="233"/>
      <c r="D45" s="234"/>
      <c r="E45" s="235">
        <f>SUM(E14:E44)</f>
        <v>0</v>
      </c>
      <c r="F45" s="235">
        <f>SUM(F14:F44)</f>
        <v>0</v>
      </c>
      <c r="G45" s="235">
        <f t="shared" si="1"/>
        <v>0</v>
      </c>
      <c r="H45" s="227"/>
    </row>
    <row r="46" spans="1:8">
      <c r="A46" s="494" t="s">
        <v>207</v>
      </c>
      <c r="B46" s="495"/>
      <c r="C46" s="495"/>
      <c r="D46" s="495"/>
      <c r="E46" s="495"/>
      <c r="F46" s="495"/>
      <c r="G46" s="495"/>
      <c r="H46" s="495"/>
    </row>
    <row r="47" spans="1:8">
      <c r="A47" s="496"/>
      <c r="B47" s="496"/>
      <c r="C47" s="496"/>
      <c r="D47" s="496"/>
      <c r="E47" s="496"/>
      <c r="F47" s="496"/>
      <c r="G47" s="496"/>
      <c r="H47" s="496"/>
    </row>
    <row r="48" spans="1:8">
      <c r="A48" s="496"/>
      <c r="B48" s="496"/>
      <c r="C48" s="496"/>
      <c r="D48" s="496"/>
      <c r="E48" s="496"/>
      <c r="F48" s="496"/>
      <c r="G48" s="496"/>
      <c r="H48" s="496"/>
    </row>
    <row r="49" spans="1:8" ht="13" thickBot="1">
      <c r="A49" s="497"/>
      <c r="B49" s="497"/>
      <c r="C49" s="497"/>
      <c r="D49" s="497"/>
      <c r="E49" s="497"/>
      <c r="F49" s="497"/>
      <c r="G49" s="497"/>
      <c r="H49" s="497"/>
    </row>
    <row r="50" spans="1:8" ht="13" thickTop="1"/>
  </sheetData>
  <sheetProtection formatCells="0"/>
  <mergeCells count="23">
    <mergeCell ref="F8:G8"/>
    <mergeCell ref="A4:B4"/>
    <mergeCell ref="C4:E4"/>
    <mergeCell ref="F4:G4"/>
    <mergeCell ref="A5:B5"/>
    <mergeCell ref="C5:E5"/>
    <mergeCell ref="F5:G5"/>
    <mergeCell ref="A6:B6"/>
    <mergeCell ref="C6:E6"/>
    <mergeCell ref="C7:E7"/>
    <mergeCell ref="A8:B8"/>
    <mergeCell ref="C8:E8"/>
    <mergeCell ref="A9:B9"/>
    <mergeCell ref="C9:E9"/>
    <mergeCell ref="F9:G9"/>
    <mergeCell ref="A10:B10"/>
    <mergeCell ref="C10:E10"/>
    <mergeCell ref="F10:G10"/>
    <mergeCell ref="A11:B11"/>
    <mergeCell ref="C11:E11"/>
    <mergeCell ref="F11:G11"/>
    <mergeCell ref="C13:D13"/>
    <mergeCell ref="A46:H49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"/>
  <dimension ref="A1:F73"/>
  <sheetViews>
    <sheetView workbookViewId="0">
      <selection activeCell="H23" sqref="H23"/>
    </sheetView>
  </sheetViews>
  <sheetFormatPr defaultRowHeight="12.5"/>
  <cols>
    <col min="1" max="3" width="9.7265625" customWidth="1"/>
    <col min="4" max="5" width="42.7265625" customWidth="1"/>
    <col min="6" max="6" width="44.7265625" customWidth="1"/>
  </cols>
  <sheetData>
    <row r="1" spans="1:6" ht="23">
      <c r="A1" s="163" t="s">
        <v>208</v>
      </c>
      <c r="B1" s="236"/>
      <c r="C1" s="236"/>
      <c r="D1" s="236"/>
      <c r="E1" s="21"/>
      <c r="F1" s="21"/>
    </row>
    <row r="2" spans="1:6" ht="23">
      <c r="A2" s="237"/>
      <c r="B2" s="237"/>
      <c r="C2" s="237"/>
      <c r="D2" s="237"/>
      <c r="E2" s="238"/>
      <c r="F2" s="238"/>
    </row>
    <row r="3" spans="1:6">
      <c r="A3" s="239" t="s">
        <v>200</v>
      </c>
      <c r="B3" s="502" t="s">
        <v>209</v>
      </c>
      <c r="C3" s="503"/>
      <c r="D3" s="450" t="s">
        <v>210</v>
      </c>
      <c r="E3" s="450"/>
      <c r="F3" s="239" t="s">
        <v>206</v>
      </c>
    </row>
    <row r="4" spans="1:6">
      <c r="A4" s="228"/>
      <c r="B4" s="504"/>
      <c r="C4" s="505"/>
      <c r="D4" s="500"/>
      <c r="E4" s="501"/>
      <c r="F4" s="232"/>
    </row>
    <row r="5" spans="1:6">
      <c r="A5" s="228"/>
      <c r="B5" s="500"/>
      <c r="C5" s="501"/>
      <c r="D5" s="500"/>
      <c r="E5" s="501"/>
      <c r="F5" s="232"/>
    </row>
    <row r="6" spans="1:6">
      <c r="A6" s="228"/>
      <c r="B6" s="500"/>
      <c r="C6" s="501"/>
      <c r="D6" s="500"/>
      <c r="E6" s="501"/>
      <c r="F6" s="232"/>
    </row>
    <row r="7" spans="1:6">
      <c r="A7" s="228"/>
      <c r="B7" s="500"/>
      <c r="C7" s="501"/>
      <c r="D7" s="500"/>
      <c r="E7" s="501"/>
      <c r="F7" s="232"/>
    </row>
    <row r="8" spans="1:6">
      <c r="A8" s="228"/>
      <c r="B8" s="500"/>
      <c r="C8" s="501"/>
      <c r="D8" s="500"/>
      <c r="E8" s="501"/>
      <c r="F8" s="232"/>
    </row>
    <row r="9" spans="1:6">
      <c r="A9" s="228"/>
      <c r="B9" s="500"/>
      <c r="C9" s="501"/>
      <c r="D9" s="500"/>
      <c r="E9" s="501"/>
      <c r="F9" s="232"/>
    </row>
    <row r="10" spans="1:6">
      <c r="A10" s="228"/>
      <c r="B10" s="500"/>
      <c r="C10" s="501"/>
      <c r="D10" s="500"/>
      <c r="E10" s="501"/>
      <c r="F10" s="232"/>
    </row>
    <row r="11" spans="1:6">
      <c r="A11" s="228"/>
      <c r="B11" s="500"/>
      <c r="C11" s="501"/>
      <c r="D11" s="500"/>
      <c r="E11" s="501"/>
      <c r="F11" s="232"/>
    </row>
    <row r="12" spans="1:6">
      <c r="A12" s="228"/>
      <c r="B12" s="500"/>
      <c r="C12" s="501"/>
      <c r="D12" s="500"/>
      <c r="E12" s="501"/>
      <c r="F12" s="232"/>
    </row>
    <row r="13" spans="1:6">
      <c r="A13" s="228"/>
      <c r="B13" s="500"/>
      <c r="C13" s="501"/>
      <c r="D13" s="500"/>
      <c r="E13" s="501"/>
      <c r="F13" s="232"/>
    </row>
    <row r="14" spans="1:6">
      <c r="A14" s="228"/>
      <c r="B14" s="500"/>
      <c r="C14" s="501"/>
      <c r="D14" s="500"/>
      <c r="E14" s="501"/>
      <c r="F14" s="232"/>
    </row>
    <row r="15" spans="1:6">
      <c r="A15" s="228"/>
      <c r="B15" s="500"/>
      <c r="C15" s="501"/>
      <c r="D15" s="500"/>
      <c r="E15" s="501"/>
      <c r="F15" s="232"/>
    </row>
    <row r="16" spans="1:6">
      <c r="A16" s="228"/>
      <c r="B16" s="500"/>
      <c r="C16" s="501"/>
      <c r="D16" s="500"/>
      <c r="E16" s="501"/>
      <c r="F16" s="232"/>
    </row>
    <row r="17" spans="1:6">
      <c r="A17" s="228"/>
      <c r="B17" s="500"/>
      <c r="C17" s="501"/>
      <c r="D17" s="500"/>
      <c r="E17" s="501"/>
      <c r="F17" s="232"/>
    </row>
    <row r="18" spans="1:6">
      <c r="A18" s="228"/>
      <c r="B18" s="500"/>
      <c r="C18" s="501"/>
      <c r="D18" s="500"/>
      <c r="E18" s="501"/>
      <c r="F18" s="232"/>
    </row>
    <row r="19" spans="1:6">
      <c r="A19" s="228"/>
      <c r="B19" s="500"/>
      <c r="C19" s="501"/>
      <c r="D19" s="500"/>
      <c r="E19" s="501"/>
      <c r="F19" s="232"/>
    </row>
    <row r="20" spans="1:6">
      <c r="A20" s="228"/>
      <c r="B20" s="500"/>
      <c r="C20" s="501"/>
      <c r="D20" s="500"/>
      <c r="E20" s="501"/>
      <c r="F20" s="232"/>
    </row>
    <row r="21" spans="1:6">
      <c r="A21" s="228"/>
      <c r="B21" s="500"/>
      <c r="C21" s="501"/>
      <c r="D21" s="500"/>
      <c r="E21" s="501"/>
      <c r="F21" s="232"/>
    </row>
    <row r="22" spans="1:6">
      <c r="A22" s="228"/>
      <c r="B22" s="500"/>
      <c r="C22" s="501"/>
      <c r="D22" s="500"/>
      <c r="E22" s="501"/>
      <c r="F22" s="232"/>
    </row>
    <row r="23" spans="1:6">
      <c r="A23" s="228"/>
      <c r="B23" s="500"/>
      <c r="C23" s="501"/>
      <c r="D23" s="500"/>
      <c r="E23" s="501"/>
      <c r="F23" s="232"/>
    </row>
    <row r="24" spans="1:6">
      <c r="A24" s="228"/>
      <c r="B24" s="500"/>
      <c r="C24" s="501"/>
      <c r="D24" s="500"/>
      <c r="E24" s="501"/>
      <c r="F24" s="232"/>
    </row>
    <row r="25" spans="1:6">
      <c r="A25" s="228"/>
      <c r="B25" s="500"/>
      <c r="C25" s="501"/>
      <c r="D25" s="500"/>
      <c r="E25" s="501"/>
      <c r="F25" s="232"/>
    </row>
    <row r="26" spans="1:6">
      <c r="A26" s="228"/>
      <c r="B26" s="500"/>
      <c r="C26" s="501"/>
      <c r="D26" s="500"/>
      <c r="E26" s="501"/>
      <c r="F26" s="232"/>
    </row>
    <row r="27" spans="1:6">
      <c r="A27" s="228"/>
      <c r="B27" s="500"/>
      <c r="C27" s="501"/>
      <c r="D27" s="500"/>
      <c r="E27" s="501"/>
      <c r="F27" s="232"/>
    </row>
    <row r="28" spans="1:6">
      <c r="A28" s="228"/>
      <c r="B28" s="500"/>
      <c r="C28" s="501"/>
      <c r="D28" s="500"/>
      <c r="E28" s="501"/>
      <c r="F28" s="232"/>
    </row>
    <row r="29" spans="1:6">
      <c r="A29" s="228"/>
      <c r="B29" s="500"/>
      <c r="C29" s="501"/>
      <c r="D29" s="500"/>
      <c r="E29" s="501"/>
      <c r="F29" s="232"/>
    </row>
    <row r="30" spans="1:6">
      <c r="A30" s="228"/>
      <c r="B30" s="500"/>
      <c r="C30" s="501"/>
      <c r="D30" s="500"/>
      <c r="E30" s="501"/>
      <c r="F30" s="232"/>
    </row>
    <row r="31" spans="1:6">
      <c r="A31" s="228"/>
      <c r="B31" s="500"/>
      <c r="C31" s="501"/>
      <c r="D31" s="500"/>
      <c r="E31" s="501"/>
      <c r="F31" s="232"/>
    </row>
    <row r="32" spans="1:6">
      <c r="A32" s="228"/>
      <c r="B32" s="500"/>
      <c r="C32" s="501"/>
      <c r="D32" s="500"/>
      <c r="E32" s="501"/>
      <c r="F32" s="232"/>
    </row>
    <row r="33" spans="1:6">
      <c r="A33" s="228"/>
      <c r="B33" s="500"/>
      <c r="C33" s="501"/>
      <c r="D33" s="500"/>
      <c r="E33" s="501"/>
      <c r="F33" s="232"/>
    </row>
    <row r="34" spans="1:6">
      <c r="A34" s="228"/>
      <c r="B34" s="500"/>
      <c r="C34" s="501"/>
      <c r="D34" s="500"/>
      <c r="E34" s="501"/>
      <c r="F34" s="232"/>
    </row>
    <row r="35" spans="1:6">
      <c r="A35" s="228"/>
      <c r="B35" s="500"/>
      <c r="C35" s="501"/>
      <c r="D35" s="500"/>
      <c r="E35" s="501"/>
      <c r="F35" s="232"/>
    </row>
    <row r="36" spans="1:6">
      <c r="A36" s="228"/>
      <c r="B36" s="500"/>
      <c r="C36" s="501"/>
      <c r="D36" s="500"/>
      <c r="E36" s="501"/>
      <c r="F36" s="232"/>
    </row>
    <row r="37" spans="1:6">
      <c r="A37" s="228"/>
      <c r="B37" s="500"/>
      <c r="C37" s="501"/>
      <c r="D37" s="500"/>
      <c r="E37" s="501"/>
      <c r="F37" s="232"/>
    </row>
    <row r="38" spans="1:6">
      <c r="A38" s="228"/>
      <c r="B38" s="500"/>
      <c r="C38" s="501"/>
      <c r="D38" s="500"/>
      <c r="E38" s="501"/>
      <c r="F38" s="232"/>
    </row>
    <row r="39" spans="1:6">
      <c r="A39" s="228"/>
      <c r="B39" s="500"/>
      <c r="C39" s="501"/>
      <c r="D39" s="500"/>
      <c r="E39" s="501"/>
      <c r="F39" s="232"/>
    </row>
    <row r="40" spans="1:6">
      <c r="A40" s="228"/>
      <c r="B40" s="500"/>
      <c r="C40" s="501"/>
      <c r="D40" s="500"/>
      <c r="E40" s="501"/>
      <c r="F40" s="232"/>
    </row>
    <row r="41" spans="1:6">
      <c r="A41" s="228"/>
      <c r="B41" s="500"/>
      <c r="C41" s="501"/>
      <c r="D41" s="500"/>
      <c r="E41" s="501"/>
      <c r="F41" s="232"/>
    </row>
    <row r="42" spans="1:6">
      <c r="A42" s="228"/>
      <c r="B42" s="500"/>
      <c r="C42" s="501"/>
      <c r="D42" s="500"/>
      <c r="E42" s="501"/>
      <c r="F42" s="232"/>
    </row>
    <row r="43" spans="1:6">
      <c r="A43" s="228"/>
      <c r="B43" s="500"/>
      <c r="C43" s="501"/>
      <c r="D43" s="500"/>
      <c r="E43" s="501"/>
      <c r="F43" s="232"/>
    </row>
    <row r="44" spans="1:6">
      <c r="A44" s="228"/>
      <c r="B44" s="500"/>
      <c r="C44" s="501"/>
      <c r="D44" s="500"/>
      <c r="E44" s="501"/>
      <c r="F44" s="232"/>
    </row>
    <row r="45" spans="1:6">
      <c r="A45" s="228"/>
      <c r="B45" s="500"/>
      <c r="C45" s="501"/>
      <c r="D45" s="500"/>
      <c r="E45" s="501"/>
      <c r="F45" s="232"/>
    </row>
    <row r="46" spans="1:6">
      <c r="A46" s="228"/>
      <c r="B46" s="500"/>
      <c r="C46" s="501"/>
      <c r="D46" s="500"/>
      <c r="E46" s="501"/>
      <c r="F46" s="232"/>
    </row>
    <row r="47" spans="1:6">
      <c r="A47" s="228"/>
      <c r="B47" s="500"/>
      <c r="C47" s="501"/>
      <c r="D47" s="500"/>
      <c r="E47" s="501"/>
      <c r="F47" s="232"/>
    </row>
    <row r="48" spans="1:6">
      <c r="A48" s="228"/>
      <c r="B48" s="500"/>
      <c r="C48" s="501"/>
      <c r="D48" s="500"/>
      <c r="E48" s="501"/>
      <c r="F48" s="232"/>
    </row>
    <row r="49" spans="1:6">
      <c r="A49" s="228"/>
      <c r="B49" s="500"/>
      <c r="C49" s="501"/>
      <c r="D49" s="500"/>
      <c r="E49" s="501"/>
      <c r="F49" s="232"/>
    </row>
    <row r="50" spans="1:6">
      <c r="A50" s="228"/>
      <c r="B50" s="500"/>
      <c r="C50" s="501"/>
      <c r="D50" s="500"/>
      <c r="E50" s="501"/>
      <c r="F50" s="232"/>
    </row>
    <row r="51" spans="1:6">
      <c r="A51" s="228"/>
      <c r="B51" s="500"/>
      <c r="C51" s="501"/>
      <c r="D51" s="500"/>
      <c r="E51" s="501"/>
      <c r="F51" s="232"/>
    </row>
    <row r="52" spans="1:6">
      <c r="A52" s="228"/>
      <c r="B52" s="500"/>
      <c r="C52" s="501"/>
      <c r="D52" s="500"/>
      <c r="E52" s="501"/>
      <c r="F52" s="232"/>
    </row>
    <row r="53" spans="1:6">
      <c r="A53" s="228"/>
      <c r="B53" s="500"/>
      <c r="C53" s="501"/>
      <c r="D53" s="500"/>
      <c r="E53" s="501"/>
      <c r="F53" s="232"/>
    </row>
    <row r="54" spans="1:6">
      <c r="A54" s="228"/>
      <c r="B54" s="500"/>
      <c r="C54" s="501"/>
      <c r="D54" s="500"/>
      <c r="E54" s="501"/>
      <c r="F54" s="232"/>
    </row>
    <row r="55" spans="1:6">
      <c r="A55" s="228"/>
      <c r="B55" s="500"/>
      <c r="C55" s="501"/>
      <c r="D55" s="500"/>
      <c r="E55" s="501"/>
      <c r="F55" s="232"/>
    </row>
    <row r="56" spans="1:6">
      <c r="A56" s="228"/>
      <c r="B56" s="500"/>
      <c r="C56" s="501"/>
      <c r="D56" s="500"/>
      <c r="E56" s="501"/>
      <c r="F56" s="232"/>
    </row>
    <row r="57" spans="1:6">
      <c r="A57" s="228"/>
      <c r="B57" s="500"/>
      <c r="C57" s="501"/>
      <c r="D57" s="500"/>
      <c r="E57" s="501"/>
      <c r="F57" s="232"/>
    </row>
    <row r="58" spans="1:6">
      <c r="A58" s="228"/>
      <c r="B58" s="500"/>
      <c r="C58" s="501"/>
      <c r="D58" s="500"/>
      <c r="E58" s="501"/>
      <c r="F58" s="232"/>
    </row>
    <row r="59" spans="1:6">
      <c r="A59" s="228"/>
      <c r="B59" s="500"/>
      <c r="C59" s="501"/>
      <c r="D59" s="500"/>
      <c r="E59" s="501"/>
      <c r="F59" s="232"/>
    </row>
    <row r="60" spans="1:6">
      <c r="A60" s="228"/>
      <c r="B60" s="500"/>
      <c r="C60" s="501"/>
      <c r="D60" s="500"/>
      <c r="E60" s="501"/>
      <c r="F60" s="232"/>
    </row>
    <row r="61" spans="1:6">
      <c r="A61" s="228"/>
      <c r="B61" s="500"/>
      <c r="C61" s="501"/>
      <c r="D61" s="500"/>
      <c r="E61" s="501"/>
      <c r="F61" s="232"/>
    </row>
    <row r="62" spans="1:6">
      <c r="A62" s="228"/>
      <c r="B62" s="500"/>
      <c r="C62" s="501"/>
      <c r="D62" s="500"/>
      <c r="E62" s="501"/>
      <c r="F62" s="232"/>
    </row>
    <row r="63" spans="1:6">
      <c r="A63" s="228"/>
      <c r="B63" s="500"/>
      <c r="C63" s="501"/>
      <c r="D63" s="500"/>
      <c r="E63" s="501"/>
      <c r="F63" s="232"/>
    </row>
    <row r="64" spans="1:6">
      <c r="A64" s="228"/>
      <c r="B64" s="500"/>
      <c r="C64" s="501"/>
      <c r="D64" s="500"/>
      <c r="E64" s="501"/>
      <c r="F64" s="232"/>
    </row>
    <row r="65" spans="1:6">
      <c r="A65" s="228"/>
      <c r="B65" s="500"/>
      <c r="C65" s="501"/>
      <c r="D65" s="500"/>
      <c r="E65" s="501"/>
      <c r="F65" s="232"/>
    </row>
    <row r="66" spans="1:6">
      <c r="A66" s="228"/>
      <c r="B66" s="500"/>
      <c r="C66" s="501"/>
      <c r="D66" s="500"/>
      <c r="E66" s="501"/>
      <c r="F66" s="232"/>
    </row>
    <row r="67" spans="1:6">
      <c r="A67" s="228"/>
      <c r="B67" s="500"/>
      <c r="C67" s="501"/>
      <c r="D67" s="500"/>
      <c r="E67" s="501"/>
      <c r="F67" s="232"/>
    </row>
    <row r="68" spans="1:6">
      <c r="A68" s="228"/>
      <c r="B68" s="500"/>
      <c r="C68" s="501"/>
      <c r="D68" s="500"/>
      <c r="E68" s="501"/>
      <c r="F68" s="232"/>
    </row>
    <row r="69" spans="1:6">
      <c r="A69" s="228"/>
      <c r="B69" s="500"/>
      <c r="C69" s="501"/>
      <c r="D69" s="500"/>
      <c r="E69" s="501"/>
      <c r="F69" s="232"/>
    </row>
    <row r="70" spans="1:6">
      <c r="A70" s="228"/>
      <c r="B70" s="500"/>
      <c r="C70" s="501"/>
      <c r="D70" s="500"/>
      <c r="E70" s="501"/>
      <c r="F70" s="232"/>
    </row>
    <row r="71" spans="1:6">
      <c r="A71" s="228"/>
      <c r="B71" s="500"/>
      <c r="C71" s="501"/>
      <c r="D71" s="500"/>
      <c r="E71" s="501"/>
      <c r="F71" s="232"/>
    </row>
    <row r="72" spans="1:6">
      <c r="A72" s="228"/>
      <c r="B72" s="500"/>
      <c r="C72" s="501"/>
      <c r="D72" s="500"/>
      <c r="E72" s="501"/>
      <c r="F72" s="232"/>
    </row>
    <row r="73" spans="1:6">
      <c r="A73" s="228"/>
      <c r="B73" s="500"/>
      <c r="C73" s="501"/>
      <c r="D73" s="500"/>
      <c r="E73" s="501"/>
      <c r="F73" s="232"/>
    </row>
  </sheetData>
  <sheetProtection formatCells="0"/>
  <mergeCells count="142">
    <mergeCell ref="B6:C6"/>
    <mergeCell ref="D6:E6"/>
    <mergeCell ref="B7:C7"/>
    <mergeCell ref="D7:E7"/>
    <mergeCell ref="B8:C8"/>
    <mergeCell ref="D8:E8"/>
    <mergeCell ref="B3:C3"/>
    <mergeCell ref="D3:E3"/>
    <mergeCell ref="B4:C4"/>
    <mergeCell ref="D4:E4"/>
    <mergeCell ref="B5:C5"/>
    <mergeCell ref="D5:E5"/>
    <mergeCell ref="B12:C12"/>
    <mergeCell ref="D12:E12"/>
    <mergeCell ref="B13:C13"/>
    <mergeCell ref="D13:E13"/>
    <mergeCell ref="B14:C14"/>
    <mergeCell ref="D14:E14"/>
    <mergeCell ref="B9:C9"/>
    <mergeCell ref="D9:E9"/>
    <mergeCell ref="B10:C10"/>
    <mergeCell ref="D10:E10"/>
    <mergeCell ref="B11:C11"/>
    <mergeCell ref="D11:E11"/>
    <mergeCell ref="B18:C18"/>
    <mergeCell ref="D18:E18"/>
    <mergeCell ref="B19:C19"/>
    <mergeCell ref="D19:E19"/>
    <mergeCell ref="B20:C20"/>
    <mergeCell ref="D20:E20"/>
    <mergeCell ref="B15:C15"/>
    <mergeCell ref="D15:E15"/>
    <mergeCell ref="B16:C16"/>
    <mergeCell ref="D16:E16"/>
    <mergeCell ref="B17:C17"/>
    <mergeCell ref="D17:E17"/>
    <mergeCell ref="B24:C24"/>
    <mergeCell ref="D24:E24"/>
    <mergeCell ref="B25:C25"/>
    <mergeCell ref="D25:E25"/>
    <mergeCell ref="B26:C26"/>
    <mergeCell ref="D26:E26"/>
    <mergeCell ref="B21:C21"/>
    <mergeCell ref="D21:E21"/>
    <mergeCell ref="B22:C22"/>
    <mergeCell ref="D22:E22"/>
    <mergeCell ref="B23:C23"/>
    <mergeCell ref="D23:E23"/>
    <mergeCell ref="B30:C30"/>
    <mergeCell ref="D30:E30"/>
    <mergeCell ref="B31:C31"/>
    <mergeCell ref="D31:E31"/>
    <mergeCell ref="B32:C32"/>
    <mergeCell ref="D32:E32"/>
    <mergeCell ref="B27:C27"/>
    <mergeCell ref="D27:E27"/>
    <mergeCell ref="B28:C28"/>
    <mergeCell ref="D28:E28"/>
    <mergeCell ref="B29:C29"/>
    <mergeCell ref="D29:E29"/>
    <mergeCell ref="B36:C36"/>
    <mergeCell ref="D36:E36"/>
    <mergeCell ref="B37:C37"/>
    <mergeCell ref="D37:E37"/>
    <mergeCell ref="B38:C38"/>
    <mergeCell ref="D38:E38"/>
    <mergeCell ref="B33:C33"/>
    <mergeCell ref="D33:E33"/>
    <mergeCell ref="B34:C34"/>
    <mergeCell ref="D34:E34"/>
    <mergeCell ref="B35:C35"/>
    <mergeCell ref="D35:E35"/>
    <mergeCell ref="B42:C42"/>
    <mergeCell ref="D42:E42"/>
    <mergeCell ref="B43:C43"/>
    <mergeCell ref="D43:E43"/>
    <mergeCell ref="B44:C44"/>
    <mergeCell ref="D44:E44"/>
    <mergeCell ref="B39:C39"/>
    <mergeCell ref="D39:E39"/>
    <mergeCell ref="B40:C40"/>
    <mergeCell ref="D40:E40"/>
    <mergeCell ref="B41:C41"/>
    <mergeCell ref="D41:E41"/>
    <mergeCell ref="B48:C48"/>
    <mergeCell ref="D48:E48"/>
    <mergeCell ref="B49:C49"/>
    <mergeCell ref="D49:E49"/>
    <mergeCell ref="B50:C50"/>
    <mergeCell ref="D50:E50"/>
    <mergeCell ref="B45:C45"/>
    <mergeCell ref="D45:E45"/>
    <mergeCell ref="B46:C46"/>
    <mergeCell ref="D46:E46"/>
    <mergeCell ref="B47:C47"/>
    <mergeCell ref="D47:E47"/>
    <mergeCell ref="B54:C54"/>
    <mergeCell ref="D54:E54"/>
    <mergeCell ref="B55:C55"/>
    <mergeCell ref="D55:E55"/>
    <mergeCell ref="B56:C56"/>
    <mergeCell ref="D56:E56"/>
    <mergeCell ref="B51:C51"/>
    <mergeCell ref="D51:E51"/>
    <mergeCell ref="B52:C52"/>
    <mergeCell ref="D52:E52"/>
    <mergeCell ref="B53:C53"/>
    <mergeCell ref="D53:E53"/>
    <mergeCell ref="B60:C60"/>
    <mergeCell ref="D60:E60"/>
    <mergeCell ref="B61:C61"/>
    <mergeCell ref="D61:E61"/>
    <mergeCell ref="B62:C62"/>
    <mergeCell ref="D62:E62"/>
    <mergeCell ref="B57:C57"/>
    <mergeCell ref="D57:E57"/>
    <mergeCell ref="B58:C58"/>
    <mergeCell ref="D58:E58"/>
    <mergeCell ref="B59:C59"/>
    <mergeCell ref="D59:E59"/>
    <mergeCell ref="B66:C66"/>
    <mergeCell ref="D66:E66"/>
    <mergeCell ref="B67:C67"/>
    <mergeCell ref="D67:E67"/>
    <mergeCell ref="B68:C68"/>
    <mergeCell ref="D68:E68"/>
    <mergeCell ref="B63:C63"/>
    <mergeCell ref="D63:E63"/>
    <mergeCell ref="B64:C64"/>
    <mergeCell ref="D64:E64"/>
    <mergeCell ref="B65:C65"/>
    <mergeCell ref="D65:E65"/>
    <mergeCell ref="B72:C72"/>
    <mergeCell ref="D72:E72"/>
    <mergeCell ref="B73:C73"/>
    <mergeCell ref="D73:E73"/>
    <mergeCell ref="B69:C69"/>
    <mergeCell ref="D69:E69"/>
    <mergeCell ref="B70:C70"/>
    <mergeCell ref="D70:E70"/>
    <mergeCell ref="B71:C71"/>
    <mergeCell ref="D71:E7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38</vt:i4>
      </vt:variant>
    </vt:vector>
  </HeadingPairs>
  <TitlesOfParts>
    <vt:vector size="59" baseType="lpstr">
      <vt:lpstr>Well Data</vt:lpstr>
      <vt:lpstr>Tops (Hz)</vt:lpstr>
      <vt:lpstr>Bit</vt:lpstr>
      <vt:lpstr>Criteria</vt:lpstr>
      <vt:lpstr>T&amp;L 1</vt:lpstr>
      <vt:lpstr>T&amp;L 2</vt:lpstr>
      <vt:lpstr>T&amp;L 3</vt:lpstr>
      <vt:lpstr>T&amp;L 4</vt:lpstr>
      <vt:lpstr>T&amp;L 5</vt:lpstr>
      <vt:lpstr>T&amp;L 6</vt:lpstr>
      <vt:lpstr>Reservoir Quality Log</vt:lpstr>
      <vt:lpstr>Porosity Log</vt:lpstr>
      <vt:lpstr>T&amp;L 7</vt:lpstr>
      <vt:lpstr>T&amp;L 8</vt:lpstr>
      <vt:lpstr>T&amp;L 9</vt:lpstr>
      <vt:lpstr>T&amp;L 10</vt:lpstr>
      <vt:lpstr>Daily</vt:lpstr>
      <vt:lpstr>Logging Report</vt:lpstr>
      <vt:lpstr>Dev. Surveys</vt:lpstr>
      <vt:lpstr>Core Recovery Report</vt:lpstr>
      <vt:lpstr>Core Description Report</vt:lpstr>
      <vt:lpstr>Intermediate</vt:lpstr>
      <vt:lpstr>Leg_1</vt:lpstr>
      <vt:lpstr>Leg_10</vt:lpstr>
      <vt:lpstr>Leg_11</vt:lpstr>
      <vt:lpstr>Leg_12</vt:lpstr>
      <vt:lpstr>Leg_13</vt:lpstr>
      <vt:lpstr>Leg_14</vt:lpstr>
      <vt:lpstr>Leg_15</vt:lpstr>
      <vt:lpstr>Leg_2</vt:lpstr>
      <vt:lpstr>Leg_4</vt:lpstr>
      <vt:lpstr>Leg_5</vt:lpstr>
      <vt:lpstr>Leg_6</vt:lpstr>
      <vt:lpstr>Leg_7</vt:lpstr>
      <vt:lpstr>Leg_8</vt:lpstr>
      <vt:lpstr>Leg_9</vt:lpstr>
      <vt:lpstr>'T&amp;L 1'!Print_Area</vt:lpstr>
      <vt:lpstr>'T&amp;L 10'!Print_Area</vt:lpstr>
      <vt:lpstr>'T&amp;L 2'!Print_Area</vt:lpstr>
      <vt:lpstr>'T&amp;L 3'!Print_Area</vt:lpstr>
      <vt:lpstr>'T&amp;L 4'!Print_Area</vt:lpstr>
      <vt:lpstr>'T&amp;L 5'!Print_Area</vt:lpstr>
      <vt:lpstr>'T&amp;L 6'!Print_Area</vt:lpstr>
      <vt:lpstr>'T&amp;L 7'!Print_Area</vt:lpstr>
      <vt:lpstr>'T&amp;L 8'!Print_Area</vt:lpstr>
      <vt:lpstr>'T&amp;L 9'!Print_Area</vt:lpstr>
      <vt:lpstr>'Well Data'!Print_Area</vt:lpstr>
      <vt:lpstr>SDLeg1</vt:lpstr>
      <vt:lpstr>SDLeg15</vt:lpstr>
      <vt:lpstr>TARDB</vt:lpstr>
      <vt:lpstr>'T&amp;L 10'!TARDB10</vt:lpstr>
      <vt:lpstr>'T&amp;L 2'!TARDB2</vt:lpstr>
      <vt:lpstr>'T&amp;L 3'!TARDB3</vt:lpstr>
      <vt:lpstr>'T&amp;L 4'!TARDB4</vt:lpstr>
      <vt:lpstr>'T&amp;L 5'!TARDB5</vt:lpstr>
      <vt:lpstr>'T&amp;L 6'!TARDB6</vt:lpstr>
      <vt:lpstr>'T&amp;L 7'!TARDB7</vt:lpstr>
      <vt:lpstr>'T&amp;L 8'!TARDB8</vt:lpstr>
      <vt:lpstr>'T&amp;L 9'!TARDB9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Brendan Doherty;Justine Hirschfeld</dc:creator>
  <cp:lastModifiedBy>Kurtis Ball</cp:lastModifiedBy>
  <cp:lastPrinted>2019-08-07T22:28:42Z</cp:lastPrinted>
  <dcterms:created xsi:type="dcterms:W3CDTF">2011-06-08T03:58:06Z</dcterms:created>
  <dcterms:modified xsi:type="dcterms:W3CDTF">2022-08-13T00:12:30Z</dcterms:modified>
</cp:coreProperties>
</file>